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mk112\Downloads\mitigation\"/>
    </mc:Choice>
  </mc:AlternateContent>
  <xr:revisionPtr revIDLastSave="0" documentId="13_ncr:1_{50A2CA50-449A-4710-B732-5327AC481C69}" xr6:coauthVersionLast="47" xr6:coauthVersionMax="47" xr10:uidLastSave="{00000000-0000-0000-0000-000000000000}"/>
  <bookViews>
    <workbookView xWindow="6140" yWindow="5930" windowWidth="29870" windowHeight="14380" xr2:uid="{00000000-000D-0000-FFFF-FFFF00000000}"/>
  </bookViews>
  <sheets>
    <sheet name="新舊小類對照匯總" sheetId="1" r:id="rId1"/>
    <sheet name="141項全量映射對照表" sheetId="2" r:id="rId2"/>
    <sheet name="方案對比與治理建議" sheetId="3" r:id="rId3"/>
  </sheets>
  <definedNames>
    <definedName name="_xlnm._FilterDatabase" localSheetId="1" hidden="1">'141項全量映射對照表'!$A$4:$M$145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6" i="2" l="1"/>
  <c r="H146" i="2"/>
  <c r="G146" i="2"/>
  <c r="F146" i="2"/>
  <c r="I25" i="1"/>
  <c r="H25" i="1"/>
  <c r="G25" i="1"/>
  <c r="F25" i="1"/>
  <c r="E25" i="1"/>
</calcChain>
</file>

<file path=xl/sharedStrings.xml><?xml version="1.0" encoding="utf-8"?>
<sst xmlns="http://schemas.openxmlformats.org/spreadsheetml/2006/main" count="1313" uniqueCount="752">
  <si>
    <t>CHUN KING 支出小類（子項目）精簡收斂與優化匯總表</t>
  </si>
  <si>
    <t>數據來源：SharePoint 線上正式資料庫 (Transactions 列表) ｜ 分析範圍：全量 8,195 筆交易記錄 ｜ 建議收斂目標：低於 20 個標準小類</t>
  </si>
  <si>
    <t>總交易筆數</t>
  </si>
  <si>
    <t>總支出金額</t>
  </si>
  <si>
    <t>現有原始小類數</t>
  </si>
  <si>
    <t>建議收斂小類數</t>
  </si>
  <si>
    <t>精簡收斂比例</t>
  </si>
  <si>
    <t>8,195 筆</t>
  </si>
  <si>
    <t>HKD 138,529,385.48</t>
  </si>
  <si>
    <t>141 種</t>
  </si>
  <si>
    <t>18 種 (&lt; 20)</t>
  </si>
  <si>
    <t>縮減 87.2%</t>
  </si>
  <si>
    <t>序號</t>
  </si>
  <si>
    <t>類別代碼</t>
  </si>
  <si>
    <t>建議標準小類名稱 (Proposed Category)</t>
  </si>
  <si>
    <t>費用性質範疇</t>
  </si>
  <si>
    <t>歷史總筆數</t>
  </si>
  <si>
    <t>筆數佔比</t>
  </si>
  <si>
    <t>歷史總金額 (HKD)</t>
  </si>
  <si>
    <t>金額佔比</t>
  </si>
  <si>
    <t>包含舊類數</t>
  </si>
  <si>
    <t>歸併包含之原始舊小類清單 (Included Raw Subcategories)</t>
  </si>
  <si>
    <t>業務定義與範疇說明 (Scope &amp; Definitions)</t>
  </si>
  <si>
    <t>CAT-01</t>
  </si>
  <si>
    <t>薪金工資 (Salary &amp; Wages)</t>
  </si>
  <si>
    <t>直接人工成本</t>
  </si>
  <si>
    <t>開工利是與節慶津貼</t>
  </si>
  <si>
    <t>CAT-02</t>
  </si>
  <si>
    <t>員工報銷 (Reimbursements)</t>
  </si>
  <si>
    <t>員工代墊支出</t>
  </si>
  <si>
    <t>報銷 (1537筆)</t>
  </si>
  <si>
    <t>員工墊付差旅、燃油泊車、緊急零星採購報銷</t>
  </si>
  <si>
    <t>CAT-03</t>
  </si>
  <si>
    <t>工程材料及五金 (Materials &amp; Hardware)</t>
  </si>
  <si>
    <t>項目直接材料</t>
  </si>
  <si>
    <t>物料 (812筆)、混凝土 (17筆)、潔具 (11筆)、鋼筋 (10筆)、油漆 (9筆)、木器 (8筆)、瓦仔 (8筆)、防水 (6筆)、地板 (6筆)、五金 (2筆)、窗簾 (2筆)、材料款 (1筆)、鐵器 (1筆)、煤氣 (1筆)</t>
  </si>
  <si>
    <t>中華煤氣管道、燃氣專用配件材料</t>
  </si>
  <si>
    <t>CAT-04</t>
  </si>
  <si>
    <t>分判及代工工程 (Subcontracting Works)</t>
  </si>
  <si>
    <t>分判及代工成本</t>
  </si>
  <si>
    <t>Material and construction fee (487筆)、打拆 (113筆)、裝修 (32筆)、天花 (31筆)、泥水 (27筆)、代工 (25筆)、捲閘門 (7筆)、判頭 (2筆)、綠化 (2筆)、material and construction fee (1筆)、外判費 (1筆)、批蕩 (1筆)、富善泥井光 (1筆)</t>
  </si>
  <si>
    <t>千里馬綠化等園藝綠化分包工程</t>
  </si>
  <si>
    <t>CAT-05</t>
  </si>
  <si>
    <t>冷氣及通風工程 (HVAC &amp; Ventilation)</t>
  </si>
  <si>
    <t>核心專項機電</t>
  </si>
  <si>
    <t>冷氣 (253筆)、風喉 (26筆)、風喉風咀 (2筆)</t>
  </si>
  <si>
    <t>出風咀、散流器組件及相關管道工程</t>
  </si>
  <si>
    <t>CAT-06</t>
  </si>
  <si>
    <t>棚架及機械租賃 (Scaffolding &amp; Plant Rental)</t>
  </si>
  <si>
    <t>工程施工設備</t>
  </si>
  <si>
    <t>康泰等泥頭、建築廢料清理與環保斗租賃</t>
  </si>
  <si>
    <t>CAT-07</t>
  </si>
  <si>
    <t>內部轉賬及還款 (Transfers &amp; Loans)</t>
  </si>
  <si>
    <t>資金往來調撥</t>
  </si>
  <si>
    <t>現金週轉備用金提取或往來資金套現</t>
  </si>
  <si>
    <t>CAT-08</t>
  </si>
  <si>
    <t>機電水暖消防 (M&amp;E, Plumbing &amp; Fire)</t>
  </si>
  <si>
    <t>專項機電水暖</t>
  </si>
  <si>
    <t>美利華亞洲等消防系統安裝工程(英文)</t>
  </si>
  <si>
    <t>CAT-09</t>
  </si>
  <si>
    <t>租金及物業費用 (Rent &amp; Utilities)</t>
  </si>
  <si>
    <t>辦公及倉儲營運</t>
  </si>
  <si>
    <t>租金 (96筆)、電費 (22筆)、管理費 (5筆)、租臨時倉 (3筆)、水電費 (3筆)、水電 (1筆)</t>
  </si>
  <si>
    <t>水電費簡寫重複項</t>
  </si>
  <si>
    <t>CAT-18</t>
  </si>
  <si>
    <t>行政及其他雜支 (General Admin &amp; Sundry)</t>
  </si>
  <si>
    <t>一般營運雜支</t>
  </si>
  <si>
    <t>费用 (36筆)、(空白 / 無) (22筆)、繳費 (10筆)、飯餐費 (8筆)、打卡機費用 (6筆)、科技券 (6筆)、test (5筆)、Staff welfare (3筆)、捐款 (3筆)、其他 (3筆)、Printing &amp; stationery (2筆)、Printing and stationery (2筆)、代收洗冷氣費 (2筆)、代收現金 (2筆)、TEST (2筆)、雜費 (1筆)、Postage &amp; courier (1筆)、Medical (1筆)、Annual Dinner (1筆)、花牌錢 (1筆)、清潔費 (1筆)、預支 (1筆)、銀行費用 (1筆)、銀行開戶 (1筆)、網站 (1筆)、BUD (1筆)、ATS機費 (1筆)、代收 (1筆)、代付公司洗冷氣賠償 (1筆)、交換 (1筆)、test-firm (1筆)、test-sub (1筆)、測試採購支出 (1筆)</t>
  </si>
  <si>
    <t>未歸類雜項開支</t>
  </si>
  <si>
    <t>CAT-10</t>
  </si>
  <si>
    <t>強積金供款 (MPF Contributions)</t>
  </si>
  <si>
    <t>法定員工福利</t>
  </si>
  <si>
    <t>MPF (101筆)、MPF 強積金 (1筆)、MPF 積金局 (1筆)</t>
  </si>
  <si>
    <t>積金局相關供款或徵費</t>
  </si>
  <si>
    <t>CAT-11</t>
  </si>
  <si>
    <t>傢私及固定裝置 (Furniture &amp; Fixtures)</t>
  </si>
  <si>
    <t>項目與辦公設備</t>
  </si>
  <si>
    <t>傢私 (75筆)</t>
  </si>
  <si>
    <t>燊雅傢私等工程項目客製辦公傢俱、展示屏風</t>
  </si>
  <si>
    <t>CAT-12</t>
  </si>
  <si>
    <t>佣金及介紹費 (Commissions &amp; Referrals)</t>
  </si>
  <si>
    <t>業務引介居間</t>
  </si>
  <si>
    <t>佣金 (54筆)、介紹費 (5筆)</t>
  </si>
  <si>
    <t>業務合作引薦介紹費，與佣金同義</t>
  </si>
  <si>
    <t>CAT-13</t>
  </si>
  <si>
    <t>專業顧問及檢測 (Professional &amp; Inspection)</t>
  </si>
  <si>
    <t>法定檢驗與顧問</t>
  </si>
  <si>
    <t>WR2 (17筆)、檢測費 (14筆)、Audit (7筆)、AUDIT (3筆)、律師費 (3筆)、驗石綿 (2筆)、ADC繪圖 (2筆)、WR1A (1筆)、WR2證書費 (1筆)、TVP AUDIT (1筆)、顧問費 (1筆)、設計費 (1筆)</t>
  </si>
  <si>
    <t>AutoCAD施工圖出圖與改圖外判費</t>
  </si>
  <si>
    <t>CAT-14</t>
  </si>
  <si>
    <t>物流運輸及差旅 (Logistics &amp; Transport)</t>
  </si>
  <si>
    <t>運輸交通費用</t>
  </si>
  <si>
    <t>Travelling (28筆)、運費 (17筆)、貨櫃費 (1筆)、車費 (1筆)、檢測運費 (1筆)</t>
  </si>
  <si>
    <t>送檢樣品材料快遞與跨區運費</t>
  </si>
  <si>
    <t>CAT-15</t>
  </si>
  <si>
    <t>牌照會籍及培訓 (Licenses, Dues &amp; Training)</t>
  </si>
  <si>
    <t>法規證照與培訓</t>
  </si>
  <si>
    <t>註冊費 (4筆)、學費  （功課費） (4筆)、考試費用 (4筆)、報名費 (4筆)、會費 (4筆)、學費 (3筆)、商業登記費 (1筆)、撤銷牌照 (1筆)、小型工程 (1筆)、S960鋼學費 (1筆)、考通風牌簽經驗 (1筆)、證書 (1筆)</t>
  </si>
  <si>
    <t>金屬承判商會、水喉潔具商會等年度商會會費</t>
  </si>
  <si>
    <t>CAT-16</t>
  </si>
  <si>
    <t>工程及商業保險 (Insurance)</t>
  </si>
  <si>
    <t>風險管理支出</t>
  </si>
  <si>
    <t>保险 (23筆)、保險 (1筆)</t>
  </si>
  <si>
    <t>同上（簡體字錄入重複項）</t>
  </si>
  <si>
    <t>CAT-17</t>
  </si>
  <si>
    <t>押金及保證金 (Deposits &amp; Guarantees)</t>
  </si>
  <si>
    <t>流動資產保證金</t>
  </si>
  <si>
    <t>裝修按金 (2筆)、押金 (1筆)、臨時電訂金 (1筆)</t>
  </si>
  <si>
    <t>電力公司或管理處臨時電表保證金</t>
  </si>
  <si>
    <t>TOTAL</t>
  </si>
  <si>
    <t>合計 (18 個標準小類)</t>
  </si>
  <si>
    <t>-</t>
  </si>
  <si>
    <t>已完整涵蓋全量 141 種舊小類</t>
  </si>
  <si>
    <t>收斂率達 87.2%</t>
  </si>
  <si>
    <t>CHUN KING 支出小類全量 141 項歸併映射對照明細 (Mapping Detail)</t>
  </si>
  <si>
    <t>本表逐筆列出歷史 8,195 筆交易中出現之 141 種原始小類，並提供精準歸入目標、筆數金額統計、主要收款人及診斷依據</t>
  </si>
  <si>
    <t>原始小類名稱 (SharePoint 舊值)</t>
  </si>
  <si>
    <t>建議收斂標準小類 (目標值)</t>
  </si>
  <si>
    <t>所屬費用範疇</t>
  </si>
  <si>
    <t>歷史年份分佈 (Year Breakdown)</t>
  </si>
  <si>
    <t>主要收款廠商/個人範例 (Top Payees)</t>
  </si>
  <si>
    <t>現況問題診斷 (Issue Diagnosis)</t>
  </si>
  <si>
    <t>歸併依據與說明 (Mapping Rationale)</t>
  </si>
  <si>
    <t>Salary</t>
  </si>
  <si>
    <t>2025(1202), 2024(938), 2023(668)</t>
  </si>
  <si>
    <t>譚榮超 TAM WING CHIU*, 陳和盛 CHAN WO SHING APPLE*</t>
  </si>
  <si>
    <t>核心薪酬</t>
  </si>
  <si>
    <t>員工固定月薪、地盤工人薪金及點工薪津</t>
  </si>
  <si>
    <t>報銷</t>
  </si>
  <si>
    <t>2024(512), 2025(457), 2023(301)</t>
  </si>
  <si>
    <t>李旨彥 Lee Tsz Yin, 郭志達 Kwok Chi Tat</t>
  </si>
  <si>
    <t>員工代墊款</t>
  </si>
  <si>
    <t>物料</t>
  </si>
  <si>
    <t>2024(256), 2023(212), 2025(208)</t>
  </si>
  <si>
    <t>東誠五金 LUENG YUK YING, 江夏五金電器批發有限公司 KWONG HA HARDWARE CO.LTD</t>
  </si>
  <si>
    <t>核心主材</t>
  </si>
  <si>
    <t>工程現場施工主材、各類水電管件五金採購</t>
  </si>
  <si>
    <t>Material and construction fee</t>
  </si>
  <si>
    <t>2025(322), 2026(123), 2024(42)</t>
  </si>
  <si>
    <t>明記五金 MING KEE METAL, 金特霸(香港)有限公司 Kembla (HK) Limited</t>
  </si>
  <si>
    <t>英文專項分判</t>
  </si>
  <si>
    <t>明記/金特霸等連工包料分判工程款</t>
  </si>
  <si>
    <t>冷氣</t>
  </si>
  <si>
    <t>2024(127), 2025(65), 2023(49)</t>
  </si>
  <si>
    <t>五環國際有限公司 Big Five Limited, 東樂空調設備工程有限公司 Joy Oriental Air conditioning equipment &amp; engineering co. Ltd</t>
  </si>
  <si>
    <t>核心空調業務</t>
  </si>
  <si>
    <t>五環/飛源等冷氣機採購安裝、清洗與保養</t>
  </si>
  <si>
    <t>棚架</t>
  </si>
  <si>
    <t>2025(60), 2024(48), 2026(15)</t>
  </si>
  <si>
    <t>高力雅（國際）有限公司 GLORY INTERNATIONAL LIMITED, 全馬棚業有限公司 Chuen Ma Scaffolding Co. Ltd.</t>
  </si>
  <si>
    <t>專項高空設施</t>
  </si>
  <si>
    <t>高力雅/全馬棚業等竹棚、外牆棚架搭拆</t>
  </si>
  <si>
    <t>還款</t>
  </si>
  <si>
    <t>2024(50), 2025(30), 2023(28)</t>
  </si>
  <si>
    <t>Chun King Limited, 姜銘基 Kong Ming Kei</t>
  </si>
  <si>
    <t>負債償還</t>
  </si>
  <si>
    <t>償還銀行貸款、股東往來款或借貸本息</t>
  </si>
  <si>
    <t>打拆</t>
  </si>
  <si>
    <t>2023(44), 2025(32), 2026(19)</t>
  </si>
  <si>
    <t>波記清拆工程公司 PO-KEE-ENGINEERING-COMPANY, 豐旭機械租賃有限公司 RMC RENTALS COMPANY LIMITED</t>
  </si>
  <si>
    <t>專項分判工種</t>
  </si>
  <si>
    <t>波記清拆等清拆、結構打拆分判款</t>
  </si>
  <si>
    <t>MPF</t>
  </si>
  <si>
    <t>2024(38), 2025(30), 2026(19)</t>
  </si>
  <si>
    <t>Manulife Provident Funds Trust Co. Ltd, BEA (MPF) INDUSTRY SCHEME</t>
  </si>
  <si>
    <t>法定強積金</t>
  </si>
  <si>
    <t>宏利、東亞等法定強制性公積金僱主供款</t>
  </si>
  <si>
    <t>内部轉賬</t>
  </si>
  <si>
    <t>2024(52), 2023(26), 2025(16)</t>
  </si>
  <si>
    <t>世海發展有限公司 World Sea Development Limited, 姜銘歡 Kong Ming Foon</t>
  </si>
  <si>
    <t>簡體字重複</t>
  </si>
  <si>
    <t>世海發展等關聯公司或內部賬戶資金劃轉（簡體）</t>
  </si>
  <si>
    <t>租金</t>
  </si>
  <si>
    <t>2024(35), 2025(21), 2023(21)</t>
  </si>
  <si>
    <t>太領有限公司 Pacific Master Limited, Bondwise International Limited</t>
  </si>
  <si>
    <t>核心場地租金</t>
  </si>
  <si>
    <t>太領/Bondwise等辦公室及貨倉場地租金</t>
  </si>
  <si>
    <t>電工</t>
  </si>
  <si>
    <t>2024(26), 2025(21), 2023(18)</t>
  </si>
  <si>
    <t>港機冷氣電器工程有限公司 Harbour Air-Conditioning&amp;Electrical Engineering Company Ltd., 榮圖電業工程有限公司 WING TO E E C LTD</t>
  </si>
  <si>
    <t>專項電氣工程</t>
  </si>
  <si>
    <t>港機/榮圖等電氣配電、電櫃電制工程</t>
  </si>
  <si>
    <t>傢私</t>
  </si>
  <si>
    <t>2026(38), 2025(15), 2023(14)</t>
  </si>
  <si>
    <t>姜銘基 Kong Ming Kei, 燊雅傢私有限公司 Bozzini Office furniture Supply Ltd.</t>
  </si>
  <si>
    <t>辦公與工程傢私</t>
  </si>
  <si>
    <t>租機費</t>
  </si>
  <si>
    <t>2024(19), 2023(18), 2025(12)</t>
  </si>
  <si>
    <t>Kyocera Document Solutions Hong Kong Ltd, 溢添機械工程有限公司 SKY TEAM ENGINEERING MACHINE CO.LTD.</t>
  </si>
  <si>
    <t>機具租賃</t>
  </si>
  <si>
    <t>溢添機械/京瓷等工程發電機、大型機具租賃</t>
  </si>
  <si>
    <t>佣金</t>
  </si>
  <si>
    <t>2025(28), 2024(21), 2026(5)</t>
  </si>
  <si>
    <t>Lui Kwan Ping, 伍浩賢 NG HO YIN</t>
  </si>
  <si>
    <t>業務居間佣金</t>
  </si>
  <si>
    <t>項目中標代理、引薦人佣金提成</t>
  </si>
  <si>
    <t>费用</t>
  </si>
  <si>
    <t>2024(16), 2023(10), 2025(6)</t>
  </si>
  <si>
    <t>美和會計服務 Maiwo Accounting Services, 耀景物業管理有限公司 GRAND VIEW PROPERTY MANAGEMENT LIMITED</t>
  </si>
  <si>
    <t>簡體模糊分類</t>
  </si>
  <si>
    <t>公司各類日常未分類行政開支（簡體字）</t>
  </si>
  <si>
    <t>裝修</t>
  </si>
  <si>
    <t>2024(21), 2023(8), 2025(2)</t>
  </si>
  <si>
    <t>天裕裝修工程有限公司 TIN YUE DECORATION ENGINEERING LIMITED, JEMINA GAR MAN LAI</t>
  </si>
  <si>
    <t>整包分判工種</t>
  </si>
  <si>
    <t>天裕裝修等整包裝修工程款</t>
  </si>
  <si>
    <t>天花</t>
  </si>
  <si>
    <t>2024(10), 2025(9), 2023(7)</t>
  </si>
  <si>
    <t>廸仁裝修公司 TIK YAN DECORATION, 壹輝裝飾工程有限公司 TOP FAI DECORATION ENGINEERING COMPANY LIMITED</t>
  </si>
  <si>
    <t>壹輝裝飾/廸仁等天花吊頂安裝分判</t>
  </si>
  <si>
    <t>Travelling</t>
  </si>
  <si>
    <t>2024(28)</t>
  </si>
  <si>
    <t>陳和盛 CHAN WO SHING APPLE*, 秦培彬 CHUN PUI PAN</t>
  </si>
  <si>
    <t>英文差旅重複</t>
  </si>
  <si>
    <t>施工隊交通補貼與出差交通支出(英文)</t>
  </si>
  <si>
    <t>泥水</t>
  </si>
  <si>
    <t>2024(12), 2023(8), 2025(6)</t>
  </si>
  <si>
    <t>煒發工程公司 WELLFAIR ENGINEERING CO, 簡國偉 KAN KWOK WAI</t>
  </si>
  <si>
    <t>煒發工程等泥水鋪砌、地台找平分判</t>
  </si>
  <si>
    <t>環保斗</t>
  </si>
  <si>
    <t>2023(15), 2024(12)</t>
  </si>
  <si>
    <t>康泰環保斗服務</t>
  </si>
  <si>
    <t>清運設備租用</t>
  </si>
  <si>
    <t>風喉</t>
  </si>
  <si>
    <t>2025(24), 2026(2)</t>
  </si>
  <si>
    <t>東樂空調設備工程有限公司 Joy Oriental Air Conditioning Equipments &amp; Engineering Company Limited, 東樂空調設備工程有限公司 Joy Oriental Air conditioning equipment &amp; engineering co. Ltd</t>
  </si>
  <si>
    <t>核心通風業務</t>
  </si>
  <si>
    <t>東樂空調等通風風管製作、風喉裝拆工程</t>
  </si>
  <si>
    <t>污水渠務</t>
  </si>
  <si>
    <t>2024(14), 2023(12)</t>
  </si>
  <si>
    <t>永順利企業有限公司, 奧迪美（香港）有限公司 OPTIMIX(HONG KONG)LIMITED</t>
  </si>
  <si>
    <t>專項渠務工程</t>
  </si>
  <si>
    <t>永順利/奧迪美等雨污水下水道排污排渠工程</t>
  </si>
  <si>
    <t>代工</t>
  </si>
  <si>
    <t>2024(14), 2026(7), 2025(3)</t>
  </si>
  <si>
    <t>堅強輝工程發展有限公司 Kin &amp; Keung &amp; Fai Construction and Engineering Company Limited, 家樂業室內裝飾工程公司 KA LOK YIP INTERIOR DECORATION</t>
  </si>
  <si>
    <t>外借施工隊</t>
  </si>
  <si>
    <t>家樂業等外借施工隊代工、專業代工款</t>
  </si>
  <si>
    <t>保险</t>
  </si>
  <si>
    <t>2025(8), 2024(7), 2023(7)</t>
  </si>
  <si>
    <t>Insupro Insurance Agency Co Ltd., 至尊保險顧問公司 Insupro Insurance Consultants Company</t>
  </si>
  <si>
    <t>電費</t>
  </si>
  <si>
    <t>2025(13), 2026(9)</t>
  </si>
  <si>
    <t>太領有限公司 Pacific Master Limited, 郭志達 Kwok Chi Tat</t>
  </si>
  <si>
    <t>水電公用費</t>
  </si>
  <si>
    <t>中電/港燈或業主分攤之電費公用事業費</t>
  </si>
  <si>
    <t>(空白 / 無)</t>
  </si>
  <si>
    <t>2025(14), 2026(5), 2024(2)</t>
  </si>
  <si>
    <t>東樂空調設備工程有限公司 Joy Oriental Air conditioning equipment &amp; engineering co. Ltd, 江鄧律師行 KONG &amp; TANG SOLICITORS</t>
  </si>
  <si>
    <t>空白未填寫</t>
  </si>
  <si>
    <t>歷史未填寫小類之過渡歸入</t>
  </si>
  <si>
    <t>租船費</t>
  </si>
  <si>
    <t>2024(19), 2025(1)</t>
  </si>
  <si>
    <t>HOI FUNG L S CO LTD, 萬昌通架有限公司 Man Cheong Iron Work Co, Ltd.</t>
  </si>
  <si>
    <t>特種船舶租用</t>
  </si>
  <si>
    <t>海豐船舶等外島水路施工運載駁船租金</t>
  </si>
  <si>
    <t>運費</t>
  </si>
  <si>
    <t>2024(9), 2025(6), 2026(2)</t>
  </si>
  <si>
    <t>羅金福貨艇 Law kam fook Shipping, 姜銘基 Kong Ming Kei</t>
  </si>
  <si>
    <t>物料運費</t>
  </si>
  <si>
    <t>羅金福貨艇等本地海陸運輸送貨費</t>
  </si>
  <si>
    <t>WR2</t>
  </si>
  <si>
    <t>天裕機電工程有限公司 TIN YUE ELECTRICAL ENGINEERING CO.,LTD, 港機冷氣電器工程有限公司 Harbour Air-Conditioning&amp;Electrical Engineering Company Ltd.</t>
  </si>
  <si>
    <t>法定電力檢驗</t>
  </si>
  <si>
    <t>天裕機電等固定電力裝置定期檢驗(WR2)簽發</t>
  </si>
  <si>
    <t>混凝土</t>
  </si>
  <si>
    <t>2023(9), 2024(5), 2025(3)</t>
  </si>
  <si>
    <t>Golik Concrete Limited, 嘉華混凝土有限公司 K .WAH CONCRETE COMPANY LIMITED</t>
  </si>
  <si>
    <t>建材過度細分</t>
  </si>
  <si>
    <t>嘉華/高力等預拌混凝土、水泥採購</t>
  </si>
  <si>
    <t>檢測費</t>
  </si>
  <si>
    <t>2024(7), 2026(4), 2025(3)</t>
  </si>
  <si>
    <t>明晟檢查（香港）有限公司 MINSEN TESTING(HONG KONG) LIMITED, 匯駿檢測及顧問有限公司 Qualitech Testing &amp; Consultancy Limited</t>
  </si>
  <si>
    <t>法定工程檢驗</t>
  </si>
  <si>
    <t>明晟/匯駿等工程材料結構及無損檢驗費</t>
  </si>
  <si>
    <t>潔具</t>
  </si>
  <si>
    <t>2026(9), 2025(1), 2024(1)</t>
  </si>
  <si>
    <t>英衛國際有限公司 E&amp;I INTERNATIONAL LIMITED</t>
  </si>
  <si>
    <t>英衛國際等衛浴潔具、面盆、龍頭設備採購</t>
  </si>
  <si>
    <t>通架</t>
  </si>
  <si>
    <t>2025(6), 2024(5)</t>
  </si>
  <si>
    <t>萬昌通架有限公司 Man Cheong Iron Work Co, Ltd.</t>
  </si>
  <si>
    <t>同類設備重複</t>
  </si>
  <si>
    <t>萬昌通架等金屬輪動工作架、鋁架租賃</t>
  </si>
  <si>
    <t>繳費</t>
  </si>
  <si>
    <t>2024(8), 2025(2)</t>
  </si>
  <si>
    <t>姜銘基 Kong Ming Kei, WeProf International Company Limited</t>
  </si>
  <si>
    <t>行政代繳雜費</t>
  </si>
  <si>
    <t>各類行政代繳費用</t>
  </si>
  <si>
    <t>鋼筋</t>
  </si>
  <si>
    <t>2023(6), 2024(2), 2026(1)</t>
  </si>
  <si>
    <t>Golik Metal Manufacturing Co. Limited</t>
  </si>
  <si>
    <t>高力金屬等結構鋼材、鋼筋採購</t>
  </si>
  <si>
    <t>Basic salary</t>
  </si>
  <si>
    <t>2024(9), 2025(1)</t>
  </si>
  <si>
    <t>郭志達 Kwok Chi Tat</t>
  </si>
  <si>
    <t>英文同義重複</t>
  </si>
  <si>
    <t>員工基本底薪，與Salary同義</t>
  </si>
  <si>
    <t>油漆</t>
  </si>
  <si>
    <t>2025(7), 2026(1), 2023(1)</t>
  </si>
  <si>
    <t>天龍五金工程有限公司 TIN DRAGON METAL WORKS LIMITED, 東誠五金 TUNG SHING METAL</t>
  </si>
  <si>
    <t>天龍五金等塗料、乳膠漆、油漆輔材</t>
  </si>
  <si>
    <t>瓦仔</t>
  </si>
  <si>
    <t>2051(4), 2023(3), 2024(1)</t>
  </si>
  <si>
    <t>姜銘基 Kong Ming Kei, 盛源建材有限公司 Source's Material Ltd</t>
  </si>
  <si>
    <t>磁磚、地磚、瓦片等飾面建材</t>
  </si>
  <si>
    <t>木器</t>
  </si>
  <si>
    <t>2024(4), 2025(3), 2023(1)</t>
  </si>
  <si>
    <t>黃河木行有限公司 YELLOW RIVER TIMBER CO.,LTD.</t>
  </si>
  <si>
    <t>黃河木行等夾板、木料木方採購</t>
  </si>
  <si>
    <t>飯餐費</t>
  </si>
  <si>
    <t>2024(7), 2023(1)</t>
  </si>
  <si>
    <t>香港金屬工程承判商會有限公司 Hong Kong Metal Engineering Contracting Association Company Limited, 姜銘歡 Kong Ming Foon</t>
  </si>
  <si>
    <t>公務工作便當</t>
  </si>
  <si>
    <t>地盤工作便當、公務工作餐開銷</t>
  </si>
  <si>
    <t>廁所</t>
  </si>
  <si>
    <t>2025(4), 2024(3)</t>
  </si>
  <si>
    <t>長興建材 Cheung Hing BuildingMaterial&amp;Engineering Company</t>
  </si>
  <si>
    <t>衛浴水暖工種</t>
  </si>
  <si>
    <t>長興建材等洗手間給排水設施及間隔改造</t>
  </si>
  <si>
    <t>Audit</t>
  </si>
  <si>
    <t>2026(5), 2025(1), 2024(1)</t>
  </si>
  <si>
    <t>香港駿誠商務有限公司 J&amp;C(HK)BUSINESS LIMITED</t>
  </si>
  <si>
    <t>法定審計</t>
  </si>
  <si>
    <t>駿誠商務等公司法定會計師審計費用</t>
  </si>
  <si>
    <t>捲閘門</t>
  </si>
  <si>
    <t>2025(3), 2023(3), 2024(1)</t>
  </si>
  <si>
    <t>明輝捲閘工程有限公司 MING FAI ROLLER GATE LIMITED</t>
  </si>
  <si>
    <t>明輝捲閘等捲閘安裝製作分判</t>
  </si>
  <si>
    <t>獎金</t>
  </si>
  <si>
    <t>2024(6), 2023(1)</t>
  </si>
  <si>
    <t>陳和盛 CHAN WO SHING APPLE*, 陳正康 CHAN CHING HONG *</t>
  </si>
  <si>
    <t>薪酬獎勵</t>
  </si>
  <si>
    <t>專案考評激勵與施工進度獎勵金</t>
  </si>
  <si>
    <t>打卡機費用</t>
  </si>
  <si>
    <t>2026(6)</t>
  </si>
  <si>
    <t>睿創市場策劃有限公司 CG Marketing Company Limited</t>
  </si>
  <si>
    <t>辦公IT設備費</t>
  </si>
  <si>
    <t>地盤考勤打卡機硬件及軟體年費</t>
  </si>
  <si>
    <t>防水</t>
  </si>
  <si>
    <t>亨達材料有限公司 HUNTER MATERIAL LIMITED</t>
  </si>
  <si>
    <t>亨達材料等防水膠、防漏卷材採購</t>
  </si>
  <si>
    <t>內部轉賬</t>
  </si>
  <si>
    <t>2025(5), 2026(1)</t>
  </si>
  <si>
    <t>Chun King Limited</t>
  </si>
  <si>
    <t>內部資金調撥</t>
  </si>
  <si>
    <t>關聯公司或內部賬戶資金劃轉（繁體）</t>
  </si>
  <si>
    <t>地板</t>
  </si>
  <si>
    <t>2024(3), 2025(2), 2023(1)</t>
  </si>
  <si>
    <t>柏力地台工程公司 Perfect Flooring Construction Company, 迪高地材工程有限公司 Decor Floors Engineering Limited</t>
  </si>
  <si>
    <t>柏力地台/迪高地材等地板飾面建材</t>
  </si>
  <si>
    <t>科技券</t>
  </si>
  <si>
    <t>2024(6)</t>
  </si>
  <si>
    <t>威士記工程有限公司 WHISKY CONTRACTING LIMITED</t>
  </si>
  <si>
    <t>專項科技支出</t>
  </si>
  <si>
    <t>政府TVP科技券專案軟體開發分攤款</t>
  </si>
  <si>
    <t>管理費</t>
  </si>
  <si>
    <t>2026(5)</t>
  </si>
  <si>
    <t>广州永建物业服务管理有限公司</t>
  </si>
  <si>
    <t>物業管理費</t>
  </si>
  <si>
    <t>廣州永建物業等辦公大樓物業管理費</t>
  </si>
  <si>
    <t>臨時電箱</t>
  </si>
  <si>
    <t>2026(4), 2025(1)</t>
  </si>
  <si>
    <t>萬量工程有限公司 Multi Power Engineering Company Limited</t>
  </si>
  <si>
    <t>電氣細分工種</t>
  </si>
  <si>
    <t>萬量工程等地盤臨時供電施工電箱配置</t>
  </si>
  <si>
    <t>渠務</t>
  </si>
  <si>
    <t>2025(3), 2024(2)</t>
  </si>
  <si>
    <t>汶迪渠務工程有限公司 Man Dick Drainage Engineering Company Limited</t>
  </si>
  <si>
    <t>渠務工種重複</t>
  </si>
  <si>
    <t>汶迪渠務等排水通渠疏通及接駁</t>
  </si>
  <si>
    <t>介紹費</t>
  </si>
  <si>
    <t>2023(3), 2024(2)</t>
  </si>
  <si>
    <t>yiu wai kwok, WS</t>
  </si>
  <si>
    <t>中文同義重複</t>
  </si>
  <si>
    <t>轉賬</t>
  </si>
  <si>
    <t>2024(3), 2023(2)</t>
  </si>
  <si>
    <t>Vocational Training Council, Chun King Limited</t>
  </si>
  <si>
    <t>同義重複項</t>
  </si>
  <si>
    <t>公司間銀行調賬劃款</t>
  </si>
  <si>
    <t>test</t>
  </si>
  <si>
    <t>test, test-firm</t>
  </si>
  <si>
    <t>歷史測試資料</t>
  </si>
  <si>
    <t>歷史測試交易記賬</t>
  </si>
  <si>
    <t>會費</t>
  </si>
  <si>
    <t>2026(1), 2025(1), 2024(1)</t>
  </si>
  <si>
    <t>香港金屬工程承判商會有限公司 Hong Kong Metal Engineering Contracting Association Company Limited, 金屬商會</t>
  </si>
  <si>
    <t>專業公會會費</t>
  </si>
  <si>
    <t>註冊費</t>
  </si>
  <si>
    <t>2026(2), 2025(2)</t>
  </si>
  <si>
    <t>香港特別行政區政府</t>
  </si>
  <si>
    <t>政府牌照規費</t>
  </si>
  <si>
    <t>特區政府各類工程承辦商註冊規費</t>
  </si>
  <si>
    <t>消防</t>
  </si>
  <si>
    <t>2024(3), 2025(1)</t>
  </si>
  <si>
    <t>Law Ping Keung Hely, 香港煌商佑鋼鐵實業有限公司 HK HUANGSHANGYOU STEEL INDUSTRIAL LIMITED</t>
  </si>
  <si>
    <t>專項消防工程</t>
  </si>
  <si>
    <t>煌商佑等消防滅火管網及設備安裝</t>
  </si>
  <si>
    <t>報名費</t>
  </si>
  <si>
    <t>2025(2), 2024(1), 2023(1)</t>
  </si>
  <si>
    <t>尖端教育集團有限公司 TD Professional Education Group Ltd, 香港水喉潔具業商會有限公司 Hong Kong Plumbing and Sanitary Ware Trade Association Ltd.</t>
  </si>
  <si>
    <t>培訓報名規費</t>
  </si>
  <si>
    <t>尖端教育等安全卡與建造業證照報名費</t>
  </si>
  <si>
    <t>學費  （功課費）</t>
  </si>
  <si>
    <t>2024(2), 2025(1), 2023(1)</t>
  </si>
  <si>
    <t>劉遠邦 Lau Yuen Pong, 東研建築科技有限公司 Jumbo Construction Technology Limited</t>
  </si>
  <si>
    <t>單次課程備註</t>
  </si>
  <si>
    <t>東研建築等專業考核作業指導與學費</t>
  </si>
  <si>
    <t>考試費用</t>
  </si>
  <si>
    <t>2024(4)</t>
  </si>
  <si>
    <t>CONTINUOUS PROFESSIONAL EDUCATION LIMITED</t>
  </si>
  <si>
    <t>考證認證費用</t>
  </si>
  <si>
    <t>專業技術證照考試及認證規費</t>
  </si>
  <si>
    <t>水電費</t>
  </si>
  <si>
    <t>2026(3)</t>
  </si>
  <si>
    <t>公用事業費</t>
  </si>
  <si>
    <t>水費、電費合計公用開支</t>
  </si>
  <si>
    <t>Staff welfare</t>
  </si>
  <si>
    <t>2024(2), 2025(1)</t>
  </si>
  <si>
    <t>姜銘歡 Kong Ming Foon, 郭志達 Kwok Chi Tat</t>
  </si>
  <si>
    <t>福利零食茶水</t>
  </si>
  <si>
    <t>員工加班點心茶水、慰勞福利</t>
  </si>
  <si>
    <t>學費</t>
  </si>
  <si>
    <t>麥柏邦 MAI Pak Pong, Hong Kong Construction Robotics Technology Society</t>
  </si>
  <si>
    <t>員工專業培訓</t>
  </si>
  <si>
    <t>建造業專業技能與安全施工培訓學費</t>
  </si>
  <si>
    <t>律師費</t>
  </si>
  <si>
    <t>2025(2), 2026(1)</t>
  </si>
  <si>
    <t>江鄧律師行 KONG &amp; TANG SOLICITORS</t>
  </si>
  <si>
    <t>專業法律服務</t>
  </si>
  <si>
    <t>江鄧律師行等合約法律諮詢及法務費用</t>
  </si>
  <si>
    <t>喉管工程</t>
  </si>
  <si>
    <t>嘉威工程公司 KA WAI ENGINEERING CO., 嘉威工程公司 KA WAI ENGINEEERING CO.</t>
  </si>
  <si>
    <t>專項水務工程</t>
  </si>
  <si>
    <t>嘉威工程等管網改造與金屬喉管工程</t>
  </si>
  <si>
    <t>FS Services installation</t>
  </si>
  <si>
    <t>美利華亞洲有限公司 Merry China Asia Limited</t>
  </si>
  <si>
    <t>英文消防重複</t>
  </si>
  <si>
    <t>AUDIT</t>
  </si>
  <si>
    <t>2025(3)</t>
  </si>
  <si>
    <t>J AND C (HK) BUSINESS LIMITED</t>
  </si>
  <si>
    <t>全大寫重複</t>
  </si>
  <si>
    <t>同上（全大寫錄入重複項）</t>
  </si>
  <si>
    <t>捐款</t>
  </si>
  <si>
    <t>2026(1), 2024(1), 2023(1)</t>
  </si>
  <si>
    <t>Elibo Engineering Ltd., PIK SHUI SUN TSUEN MUTUAL AID COMMITTEE</t>
  </si>
  <si>
    <t>慈善社區捐款</t>
  </si>
  <si>
    <t>社區互助委員會、慈善公益捐款</t>
  </si>
  <si>
    <t>水喉</t>
  </si>
  <si>
    <t>永輝設計工程有限公司 WING FAI DESIGN &amp; ENGINEERING LIMITED</t>
  </si>
  <si>
    <t>永輝設計等給水管道鋪設與水喉維修</t>
  </si>
  <si>
    <t>租臨時倉</t>
  </si>
  <si>
    <t>2024(3)</t>
  </si>
  <si>
    <t>榮發吊機租賃有限公司 WING FAT CRANES LEASING LIMITED, 萬里通貨運國際有限公司 Milestone Cargo International Freight Ltd</t>
  </si>
  <si>
    <t>臨時倉租重複</t>
  </si>
  <si>
    <t>榮發/萬里通等工地臨時物料堆放倉租金</t>
  </si>
  <si>
    <t>套現</t>
  </si>
  <si>
    <t>2024(2), 2023(1)</t>
  </si>
  <si>
    <t>LI YUET PAN</t>
  </si>
  <si>
    <t>資金調撥</t>
  </si>
  <si>
    <t>電燈</t>
  </si>
  <si>
    <t>2023(3)</t>
  </si>
  <si>
    <t>Elwin Lighting &amp; Electrical Co. The Hong Kong &amp; Shanghai Banking – Corporation Limited, 艾榮照明電器公司 Elwin Lighting &amp; Electrical Co.</t>
  </si>
  <si>
    <t>艾榮照明等照明燈具安裝與光源更新</t>
  </si>
  <si>
    <t>升降台</t>
  </si>
  <si>
    <t>譽豪設備（香港）有限公司 Honor Us Equipment(HK)Limited</t>
  </si>
  <si>
    <t>特種機械租賃</t>
  </si>
  <si>
    <t>譽豪設備等高空作業升降台租賃</t>
  </si>
  <si>
    <t>其他</t>
  </si>
  <si>
    <t>test-test0010-3</t>
  </si>
  <si>
    <t>一般兜底雜費</t>
  </si>
  <si>
    <t>Printing &amp; stationery</t>
  </si>
  <si>
    <t>2025(1), 2024(1)</t>
  </si>
  <si>
    <t>文儀用品</t>
  </si>
  <si>
    <t>文具紙張、複印耗材費</t>
  </si>
  <si>
    <t>判頭</t>
  </si>
  <si>
    <t>2025(1), 2023(1)</t>
  </si>
  <si>
    <t>林子傑 lam tsz kit</t>
  </si>
  <si>
    <t>同義詞重複</t>
  </si>
  <si>
    <t>二判工頭工程款</t>
  </si>
  <si>
    <t>風喉風咀</t>
  </si>
  <si>
    <t>2025(2)</t>
  </si>
  <si>
    <t>東樂空調設備工程有限公司 Joy Oriental Air Conditioning Equipments &amp; Engineering Company Limited</t>
  </si>
  <si>
    <t>通風部件細分</t>
  </si>
  <si>
    <t>代收洗冷氣費</t>
  </si>
  <si>
    <t>過渡性代收付</t>
  </si>
  <si>
    <t>代收洗冷氣款項過渡記賬</t>
  </si>
  <si>
    <t>代收現金</t>
  </si>
  <si>
    <t>代收現金過渡記賬</t>
  </si>
  <si>
    <t>裝修按金</t>
  </si>
  <si>
    <t>SUN HUNG KAI REAL ESTATE AGENCY LTD, 超卓管理服務有限公司</t>
  </si>
  <si>
    <t>施工進場保證金</t>
  </si>
  <si>
    <t>新鴻基/超卓管理等商場大廈進場裝修施工保證金</t>
  </si>
  <si>
    <t>Printing and stationery</t>
  </si>
  <si>
    <t>2024(2)</t>
  </si>
  <si>
    <t>郭志達 Kwok Chi Tat, 李文偉 Lee Man Wai</t>
  </si>
  <si>
    <t>同上（同義重複項）</t>
  </si>
  <si>
    <t>綠化</t>
  </si>
  <si>
    <t>2024(1), 2025(1)</t>
  </si>
  <si>
    <t>千里馬綠化有限公司 PEGASUS GREENLAND LED</t>
  </si>
  <si>
    <t>利是</t>
  </si>
  <si>
    <t>姜銘基 Kong Ming Kei, 郭志達 Kwok Chi Tat</t>
  </si>
  <si>
    <t>員工福利津貼</t>
  </si>
  <si>
    <t>驗石綿</t>
  </si>
  <si>
    <t>2024(1), 2023(1)</t>
  </si>
  <si>
    <t>東業德勤測試顧問有限公司 ETS-TESTCONSULT LIMITED</t>
  </si>
  <si>
    <t>檢測專案細分</t>
  </si>
  <si>
    <t>東業德勤等拆卸前法定石綿化驗評估</t>
  </si>
  <si>
    <t>花紅</t>
  </si>
  <si>
    <t>陳鎮南 CHAN CHUN NAM</t>
  </si>
  <si>
    <t>年終雙糧或專案分紅，屬員工薪酬</t>
  </si>
  <si>
    <t>窗簾</t>
  </si>
  <si>
    <t>迪高簾工程有限公司 Décor Blind Engineering Limited</t>
  </si>
  <si>
    <t>迪高簾等百葉簾、捲簾等成品材料</t>
  </si>
  <si>
    <t>ADC繪圖</t>
  </si>
  <si>
    <t>2023(2)</t>
  </si>
  <si>
    <t>ZHUO ZIWEI</t>
  </si>
  <si>
    <t>繪圖外判細分</t>
  </si>
  <si>
    <t>TEST</t>
  </si>
  <si>
    <t>2026(2)</t>
  </si>
  <si>
    <t>五金</t>
  </si>
  <si>
    <t>測試 Test</t>
  </si>
  <si>
    <t>五金耗材</t>
  </si>
  <si>
    <t>螺絲、緊固件、小五金及消耗配件</t>
  </si>
  <si>
    <t>押金</t>
  </si>
  <si>
    <t>2026(1)</t>
  </si>
  <si>
    <t>广州展瀛置业有限公司</t>
  </si>
  <si>
    <t>租賃履約押金</t>
  </si>
  <si>
    <t>物業場地履約押金（退租可收回）</t>
  </si>
  <si>
    <t>S960鋼學費</t>
  </si>
  <si>
    <t>2025(1)</t>
  </si>
  <si>
    <t>香港建造學院</t>
  </si>
  <si>
    <t>香港建造學院高強鋼焊接工藝專案學費</t>
  </si>
  <si>
    <t>material and construction fee</t>
  </si>
  <si>
    <t>泓景工程有限公司 PANORAMIC ENGINEERING COMPANY LIMITED</t>
  </si>
  <si>
    <t>英文大小寫重複</t>
  </si>
  <si>
    <t>同上（小寫錄入重複項）</t>
  </si>
  <si>
    <t>保險</t>
  </si>
  <si>
    <t>FWD life Insurance Company(Bermuda）Limited</t>
  </si>
  <si>
    <t>法定工程保險</t>
  </si>
  <si>
    <t>FWD/至尊保險等勞保(EC)與公眾責任險(CAR/PL)</t>
  </si>
  <si>
    <t>消防年檢</t>
  </si>
  <si>
    <t>信誠工程國際有限公司</t>
  </si>
  <si>
    <t>消防年檢細分</t>
  </si>
  <si>
    <t>信誠工程等消防系統法定年度檢驗(FS251)</t>
  </si>
  <si>
    <t>檢測運費</t>
  </si>
  <si>
    <t>HEBEI ANTELI ENVIRONMENTAL TECHNOLOGY CO., LTD</t>
  </si>
  <si>
    <t>單次運費備註</t>
  </si>
  <si>
    <t>TVP AUDIT</t>
  </si>
  <si>
    <t>啟晴會計師事務所有限公司 CK Alliance CPA Limited</t>
  </si>
  <si>
    <t>專案審計細分</t>
  </si>
  <si>
    <t>啟晴會計師科技券專案專項審計費</t>
  </si>
  <si>
    <t>考通風牌簽經驗</t>
  </si>
  <si>
    <t>龔永生 Kung wing sang</t>
  </si>
  <si>
    <t>單次牌照備註</t>
  </si>
  <si>
    <t>通風承辦商牌照經驗簽核規費</t>
  </si>
  <si>
    <t>消防電工程</t>
  </si>
  <si>
    <t>嘉威工程公司 KA WAI ENGINEEERING CO.</t>
  </si>
  <si>
    <t>消防電氣細分</t>
  </si>
  <si>
    <t>嘉威工程等消防火警訊號及電氣工程</t>
  </si>
  <si>
    <t>WR1A</t>
  </si>
  <si>
    <t>Vincent Chan Sai Pan (Global Switch)</t>
  </si>
  <si>
    <t>法定電力證明</t>
  </si>
  <si>
    <t>新電力裝置完工證明書(WR1A)簽發費</t>
  </si>
  <si>
    <t>BUD</t>
  </si>
  <si>
    <t>恒僑國際有限公司 WeProf International Company Limited</t>
  </si>
  <si>
    <t>專項基金開銷</t>
  </si>
  <si>
    <t>BUD專項專案服務費</t>
  </si>
  <si>
    <t>ATS機費</t>
  </si>
  <si>
    <t>CG Marketing Co. Ltd</t>
  </si>
  <si>
    <t>單次設備備註</t>
  </si>
  <si>
    <t>考勤或市場營銷工具費</t>
  </si>
  <si>
    <t>Annual Dinner</t>
  </si>
  <si>
    <t>Tysan Building Construction Company Limited</t>
  </si>
  <si>
    <t>公司年會聚餐</t>
  </si>
  <si>
    <t>年度聯歡晚宴、慶祝聚餐費</t>
  </si>
  <si>
    <t>消防訂金</t>
  </si>
  <si>
    <t>單次款項備註</t>
  </si>
  <si>
    <t>消防設備廠商預付款/訂金</t>
  </si>
  <si>
    <t>租水馬</t>
  </si>
  <si>
    <t>夢幻製作有限公司 DREAM ADVERTISING PRODUCTION LTD</t>
  </si>
  <si>
    <t>防護設備租用</t>
  </si>
  <si>
    <t>地盤路面隔離防護水馬租賃</t>
  </si>
  <si>
    <t>顧問費</t>
  </si>
  <si>
    <t>Fong Ka Ki Sam</t>
  </si>
  <si>
    <t>專業諮詢顧問</t>
  </si>
  <si>
    <t>專業技術顧問與工程造價顧問諮詢費</t>
  </si>
  <si>
    <t>交換</t>
  </si>
  <si>
    <t>華毅電器工程有限公司</t>
  </si>
  <si>
    <t>過渡性調賬</t>
  </si>
  <si>
    <t>工程交叉換賬調撥</t>
  </si>
  <si>
    <t>代付公司洗冷氣賠償</t>
  </si>
  <si>
    <t>單次賠償備註</t>
  </si>
  <si>
    <t>洗冷氣破損賠償補償</t>
  </si>
  <si>
    <t>代收</t>
  </si>
  <si>
    <t>代收轉付過渡性記賬</t>
  </si>
  <si>
    <t>WR2證書費</t>
  </si>
  <si>
    <t>規費細分重複</t>
  </si>
  <si>
    <t>機電工程署政府證書規費</t>
  </si>
  <si>
    <t>臨時電訂金</t>
  </si>
  <si>
    <t>超卓管理服務有限公司</t>
  </si>
  <si>
    <t>水電計量保證金</t>
  </si>
  <si>
    <t>富善泥井光</t>
  </si>
  <si>
    <t>永順利企業有限公司 FOREVER VICTORY ENTERPRISES LIMITED</t>
  </si>
  <si>
    <t>誤將項目備註當小類</t>
  </si>
  <si>
    <t>永順利大埔富善泥井專項分判（誤將項目備註寫入小類）</t>
  </si>
  <si>
    <t>車費</t>
  </si>
  <si>
    <t>江夏五金電器批發有限公司 KWONG HA HARDWARE CO.LTD</t>
  </si>
  <si>
    <t>交通零星開銷</t>
  </si>
  <si>
    <t>本地地盤巡視與交通車資</t>
  </si>
  <si>
    <t>Postage &amp; courier</t>
  </si>
  <si>
    <t>2024(1)</t>
  </si>
  <si>
    <t>郵遞文件費</t>
  </si>
  <si>
    <t>公文郵票、文件快遞運費</t>
  </si>
  <si>
    <t>Medical</t>
  </si>
  <si>
    <t>員工醫療費</t>
  </si>
  <si>
    <t>員工工傷急救或就診醫療補貼</t>
  </si>
  <si>
    <t>撤銷牌照</t>
  </si>
  <si>
    <t>公司註冊署</t>
  </si>
  <si>
    <t>法定手續規費</t>
  </si>
  <si>
    <t>公司註冊署註銷或變更登記費</t>
  </si>
  <si>
    <t>鐵器</t>
  </si>
  <si>
    <t>贝克达(香港）铁器制品有限公司 AVANCE(HONG KONG)METAL WORKS COMPANY</t>
  </si>
  <si>
    <t>貝克達鐵器等定制鋼件、鐵器材料</t>
  </si>
  <si>
    <t>貨櫃費</t>
  </si>
  <si>
    <t>真記五金</t>
  </si>
  <si>
    <t>貨櫃運輸</t>
  </si>
  <si>
    <t>真記五金等貨櫃集裝箱租用及拖車費</t>
  </si>
  <si>
    <t>設計費</t>
  </si>
  <si>
    <t>姜銘歡 Kong Ming Foon</t>
  </si>
  <si>
    <t>專業設計服務</t>
  </si>
  <si>
    <t>空間設計、施工圖面繪製及深化設計費</t>
  </si>
  <si>
    <t>吊船</t>
  </si>
  <si>
    <t>中盛吊船工程有限公司 FLOURISHES ENGINEERING LIMITED</t>
  </si>
  <si>
    <t>中盛吊船等大廈外牆工程吊船租用</t>
  </si>
  <si>
    <t>證書</t>
  </si>
  <si>
    <t>Law Ping Keung Hely</t>
  </si>
  <si>
    <t>證照規費</t>
  </si>
  <si>
    <t>專業技工/安全員資質證書領取費</t>
  </si>
  <si>
    <t>煤氣</t>
  </si>
  <si>
    <t>香港中華煤氣有限公司 The Hong Kong and China Gas Company Limited</t>
  </si>
  <si>
    <t>網站</t>
  </si>
  <si>
    <t>Edgeup Studio Limited</t>
  </si>
  <si>
    <t>資訊科技開銷</t>
  </si>
  <si>
    <t>Edgeup Studio等公司網站開發與維護費</t>
  </si>
  <si>
    <t>批蕩</t>
  </si>
  <si>
    <t>CHAU KING WAI</t>
  </si>
  <si>
    <t>牆體抹灰批蕩工藝分判</t>
  </si>
  <si>
    <t>外判費</t>
  </si>
  <si>
    <t>NEXT STEPS LIMITED</t>
  </si>
  <si>
    <t>工程單項工序外判分包款</t>
  </si>
  <si>
    <t>小型工程</t>
  </si>
  <si>
    <t>2023(1)</t>
  </si>
  <si>
    <t>牌照規費細分</t>
  </si>
  <si>
    <t>特區政府小型工程牌照規費</t>
  </si>
  <si>
    <t>花牌錢</t>
  </si>
  <si>
    <t>金屬商會</t>
  </si>
  <si>
    <t>交際應酬開銷</t>
  </si>
  <si>
    <t>商會或同行開業誌慶花籃花牌</t>
  </si>
  <si>
    <t>清潔費</t>
  </si>
  <si>
    <t>CHEN XIANG WU</t>
  </si>
  <si>
    <t>辦公清潔開銷</t>
  </si>
  <si>
    <t>辦公室或完工開荒日常清潔</t>
  </si>
  <si>
    <t>預支</t>
  </si>
  <si>
    <t>趙仲發 Chiu Chung Fat</t>
  </si>
  <si>
    <t>暫借支款項</t>
  </si>
  <si>
    <t>員工緊急借支暫付款</t>
  </si>
  <si>
    <t>銀行費用</t>
  </si>
  <si>
    <t>銀行金融手續費</t>
  </si>
  <si>
    <t>銀行轉賬手續費、匯款手續費</t>
  </si>
  <si>
    <t>銀行開戶</t>
  </si>
  <si>
    <t>開戶行政費用</t>
  </si>
  <si>
    <t>銀行開設商業戶口手續費</t>
  </si>
  <si>
    <t>測試採購支出</t>
  </si>
  <si>
    <t>測試材料供應商 (Test Supplier)</t>
  </si>
  <si>
    <t>測試採購記賬</t>
  </si>
  <si>
    <t>test-firm</t>
  </si>
  <si>
    <t>歷史測試廠商記賬</t>
  </si>
  <si>
    <t>MPF 強積金</t>
  </si>
  <si>
    <t>Manulife Provident Funds Trust Co. Ltd</t>
  </si>
  <si>
    <t>中英同義重複</t>
  </si>
  <si>
    <t>宏利強積金供款（同義詞）</t>
  </si>
  <si>
    <t>MPF 積金局</t>
  </si>
  <si>
    <t>積金局</t>
  </si>
  <si>
    <t>強積金機構細分</t>
  </si>
  <si>
    <t>商業登記費</t>
  </si>
  <si>
    <t>取消BR申请费</t>
  </si>
  <si>
    <t>法定登記規費</t>
  </si>
  <si>
    <t>公司稅務局商業登記證(BR)年度規費</t>
  </si>
  <si>
    <t>test-sub</t>
  </si>
  <si>
    <t>歷史測試小類記賬</t>
  </si>
  <si>
    <t>材料款</t>
  </si>
  <si>
    <t>採購建材款項，與物料同義</t>
  </si>
  <si>
    <t>雜費</t>
  </si>
  <si>
    <t>日常行政雜支</t>
  </si>
  <si>
    <t>零星辦公耗材與雜項支出</t>
  </si>
  <si>
    <t>水電</t>
  </si>
  <si>
    <t>簡寫重複</t>
  </si>
  <si>
    <t>TOTAL 合計</t>
  </si>
  <si>
    <t>共 141 種原始小類</t>
  </si>
  <si>
    <t>CAT-01~18</t>
  </si>
  <si>
    <t>2023 - 2026 全覆蓋</t>
  </si>
  <si>
    <t>100% 完成映射</t>
  </si>
  <si>
    <t>已收斂至 18 個標準小類</t>
  </si>
  <si>
    <t>CHUN KING 支出小類精簡方案選型與治理落實指引</t>
  </si>
  <si>
    <t>提供「標準 18 類方案」與「極簡 14 類方案」之對比分析，並列出表單防呆與 SharePoint 治理步驟</t>
  </si>
  <si>
    <t>一、兩套收斂方案對比矩陣</t>
  </si>
  <si>
    <t>對比維度</t>
  </si>
  <si>
    <t>方案 A：推薦標準 18 類方案 (全面工程版)</t>
  </si>
  <si>
    <t>方案 B：極簡 14 類方案 (高層看板版)</t>
  </si>
  <si>
    <t>選型建議與適用場景</t>
  </si>
  <si>
    <t>分類數量</t>
  </si>
  <si>
    <t>18 個標準小類 (精簡 87.2%)</t>
  </si>
  <si>
    <t>14 個核心大類 (精簡 90.1%)</t>
  </si>
  <si>
    <t>兩者皆完全滿足 &lt; 20 類的目標</t>
  </si>
  <si>
    <t>薪金與福利</t>
  </si>
  <si>
    <t>拆分為「薪金工資」與「強積金供款」</t>
  </si>
  <si>
    <t>合併為「薪金及員工福利 (含MPF)」</t>
  </si>
  <si>
    <t>若需獨立統計法定強積金僱主支出，推薦方案 A</t>
  </si>
  <si>
    <t>工程分判與機電</t>
  </si>
  <si>
    <t>「冷氣通風」與「機電水暖消防」獨立成類</t>
  </si>
  <si>
    <t>合併為「機電、空調、水暖及消防」</t>
  </si>
  <si>
    <t>CHUN KING 冷氣與通風業務比重大，方案 A 能精準核算項目毛利</t>
  </si>
  <si>
    <t>押金與資金往來</t>
  </si>
  <si>
    <t>「押金及保證金」獨立成類 (流動資產性質)</t>
  </si>
  <si>
    <t>合併入「內部轉賬、借貸及保證金」</t>
  </si>
  <si>
    <t>商場進場裝修保證金退場可回收，方案 A 利於財務跟催退款</t>
  </si>
  <si>
    <t>專業與證照培訓</t>
  </si>
  <si>
    <t>拆為「專業顧問及檢測」與「牌照會籍培訓」</t>
  </si>
  <si>
    <t>合併為「專業顧問、檢測及法定規費」</t>
  </si>
  <si>
    <t>方案 A 便於追蹤機電 WR2/WR1A 檢測成本與安全考核規費</t>
  </si>
  <si>
    <t>表單選單操作難度</t>
  </si>
  <si>
    <t>選單 18 項，分類清晰直觀，員工無歧義</t>
  </si>
  <si>
    <t>選單 14 項，極致簡潔，需注意複合分類包含範圍</t>
  </si>
  <si>
    <t>日常開單員工均可在 3 秒內精準找到正確分類</t>
  </si>
  <si>
    <t>綜合推薦度</t>
  </si>
  <si>
    <t>★★★★★ (強烈推薦，兼顧核算精度與操作體驗)</t>
  </si>
  <si>
    <t>★★★★☆ (適合以大類匯總看盤為主的管理模式)</t>
  </si>
  <si>
    <t>建議優先採用方案 A</t>
  </si>
  <si>
    <t>二、後續防呆與系統治理落實指引（供管理決策參考，目前未作任何變更）</t>
  </si>
  <si>
    <t>步驟 1：智慧表單前端鎖定</t>
  </si>
  <si>
    <t>將 smart_forms_app.html 中小類輸入框由原本自由輸入的 &lt;input list='...'&gt; 改為固定下拉選單 &lt;select&gt;，從源頭徹底杜絕中英混用、打字錯別字或把施工備註當小類輸入。</t>
  </si>
  <si>
    <t>步驟 2：SharePoint 列表欄位優化</t>
  </si>
  <si>
    <t>在 SharePoint 列表中將 `子項目` (子項目) 欄位設定由單行文字 (Single line of text) 升級為選擇值 (Choice)，將 18 個標準小類設為固定選項。</t>
  </si>
  <si>
    <t>步驟 3：看板財務圖表自動適配</t>
  </si>
  <si>
    <t>財務看板的「小類小計」與「類別支出分佈圖」將從原本 141 種混亂長條圖，自動收斂為 18 種整齊美觀的標準圖表，大幅提升成本分析與利潤核算可讀性。</t>
  </si>
  <si>
    <t>步驟 4：歷史 8,195 筆資料映射清洗 (可選)</t>
  </si>
  <si>
    <t>若管理層拍板本映射對照表，後續可執行一次性批次映射腳本，依本表規則將歷史資料中的舊值自動替換為標準值，使全庫 2023-2026 年前後財務口徑達到 100% 統一。</t>
  </si>
  <si>
    <r>
      <rPr>
        <sz val="9"/>
        <color rgb="FF1E293B"/>
        <rFont val="Microsoft YaHei"/>
        <family val="2"/>
        <charset val="134"/>
      </rPr>
      <t>電工</t>
    </r>
    <r>
      <rPr>
        <sz val="9"/>
        <color rgb="FF1E293B"/>
        <rFont val="Segoe UI"/>
        <family val="2"/>
      </rPr>
      <t xml:space="preserve"> (79</t>
    </r>
    <r>
      <rPr>
        <sz val="9"/>
        <color rgb="FF1E293B"/>
        <rFont val="Microsoft YaHei"/>
        <family val="2"/>
        <charset val="134"/>
      </rPr>
      <t>筆</t>
    </r>
    <r>
      <rPr>
        <sz val="9"/>
        <color rgb="FF1E293B"/>
        <rFont val="Segoe UI"/>
        <family val="2"/>
      </rPr>
      <t>)</t>
    </r>
    <r>
      <rPr>
        <sz val="9"/>
        <color rgb="FF1E293B"/>
        <rFont val="Microsoft YaHei"/>
        <family val="2"/>
        <charset val="134"/>
      </rPr>
      <t>、污水渠務</t>
    </r>
    <r>
      <rPr>
        <sz val="9"/>
        <color rgb="FF1E293B"/>
        <rFont val="Segoe UI"/>
        <family val="2"/>
      </rPr>
      <t xml:space="preserve"> (26</t>
    </r>
    <r>
      <rPr>
        <sz val="9"/>
        <color rgb="FF1E293B"/>
        <rFont val="Microsoft YaHei"/>
        <family val="2"/>
        <charset val="134"/>
      </rPr>
      <t>筆</t>
    </r>
    <r>
      <rPr>
        <sz val="9"/>
        <color rgb="FF1E293B"/>
        <rFont val="Segoe UI"/>
        <family val="2"/>
      </rPr>
      <t>)</t>
    </r>
    <r>
      <rPr>
        <sz val="9"/>
        <color rgb="FF1E293B"/>
        <rFont val="Microsoft YaHei"/>
        <family val="2"/>
        <charset val="134"/>
      </rPr>
      <t>、廁所</t>
    </r>
    <r>
      <rPr>
        <sz val="9"/>
        <color rgb="FF1E293B"/>
        <rFont val="Segoe UI"/>
        <family val="2"/>
      </rPr>
      <t xml:space="preserve"> (7</t>
    </r>
    <r>
      <rPr>
        <sz val="9"/>
        <color rgb="FF1E293B"/>
        <rFont val="Microsoft YaHei"/>
        <family val="2"/>
        <charset val="134"/>
      </rPr>
      <t>筆</t>
    </r>
    <r>
      <rPr>
        <sz val="9"/>
        <color rgb="FF1E293B"/>
        <rFont val="Segoe UI"/>
        <family val="2"/>
      </rPr>
      <t>)</t>
    </r>
    <r>
      <rPr>
        <sz val="9"/>
        <color rgb="FF1E293B"/>
        <rFont val="Microsoft YaHei"/>
        <family val="2"/>
        <charset val="134"/>
      </rPr>
      <t>、臨時電箱</t>
    </r>
    <r>
      <rPr>
        <sz val="9"/>
        <color rgb="FF1E293B"/>
        <rFont val="Segoe UI"/>
        <family val="2"/>
      </rPr>
      <t xml:space="preserve"> (5</t>
    </r>
    <r>
      <rPr>
        <sz val="9"/>
        <color rgb="FF1E293B"/>
        <rFont val="Microsoft YaHei"/>
        <family val="2"/>
        <charset val="134"/>
      </rPr>
      <t>筆</t>
    </r>
    <r>
      <rPr>
        <sz val="9"/>
        <color rgb="FF1E293B"/>
        <rFont val="Segoe UI"/>
        <family val="2"/>
      </rPr>
      <t>)</t>
    </r>
    <r>
      <rPr>
        <sz val="9"/>
        <color rgb="FF1E293B"/>
        <rFont val="Microsoft YaHei"/>
        <family val="2"/>
        <charset val="134"/>
      </rPr>
      <t>、渠務</t>
    </r>
    <r>
      <rPr>
        <sz val="9"/>
        <color rgb="FF1E293B"/>
        <rFont val="Segoe UI"/>
        <family val="2"/>
      </rPr>
      <t xml:space="preserve"> (5</t>
    </r>
    <r>
      <rPr>
        <sz val="9"/>
        <color rgb="FF1E293B"/>
        <rFont val="Microsoft YaHei"/>
        <family val="2"/>
        <charset val="134"/>
      </rPr>
      <t>筆</t>
    </r>
    <r>
      <rPr>
        <sz val="9"/>
        <color rgb="FF1E293B"/>
        <rFont val="Segoe UI"/>
        <family val="2"/>
      </rPr>
      <t>)</t>
    </r>
    <r>
      <rPr>
        <sz val="9"/>
        <color rgb="FF1E293B"/>
        <rFont val="Microsoft YaHei"/>
        <family val="2"/>
        <charset val="134"/>
      </rPr>
      <t>、消防</t>
    </r>
    <r>
      <rPr>
        <sz val="9"/>
        <color rgb="FF1E293B"/>
        <rFont val="Segoe UI"/>
        <family val="2"/>
      </rPr>
      <t xml:space="preserve"> (4</t>
    </r>
    <r>
      <rPr>
        <sz val="9"/>
        <color rgb="FF1E293B"/>
        <rFont val="Microsoft YaHei"/>
        <family val="2"/>
        <charset val="134"/>
      </rPr>
      <t>筆</t>
    </r>
    <r>
      <rPr>
        <sz val="9"/>
        <color rgb="FF1E293B"/>
        <rFont val="Segoe UI"/>
        <family val="2"/>
      </rPr>
      <t>)</t>
    </r>
    <r>
      <rPr>
        <sz val="9"/>
        <color rgb="FF1E293B"/>
        <rFont val="Microsoft YaHei"/>
        <family val="2"/>
        <charset val="134"/>
      </rPr>
      <t>、電燈</t>
    </r>
    <r>
      <rPr>
        <sz val="9"/>
        <color rgb="FF1E293B"/>
        <rFont val="Segoe UI"/>
        <family val="2"/>
      </rPr>
      <t xml:space="preserve"> (3</t>
    </r>
    <r>
      <rPr>
        <sz val="9"/>
        <color rgb="FF1E293B"/>
        <rFont val="Microsoft YaHei"/>
        <family val="2"/>
        <charset val="134"/>
      </rPr>
      <t>筆</t>
    </r>
    <r>
      <rPr>
        <sz val="9"/>
        <color rgb="FF1E293B"/>
        <rFont val="Segoe UI"/>
        <family val="2"/>
      </rPr>
      <t>)</t>
    </r>
    <r>
      <rPr>
        <sz val="9"/>
        <color rgb="FF1E293B"/>
        <rFont val="Microsoft YaHei"/>
        <family val="2"/>
        <charset val="134"/>
      </rPr>
      <t>、水喉</t>
    </r>
    <r>
      <rPr>
        <sz val="9"/>
        <color rgb="FF1E293B"/>
        <rFont val="Segoe UI"/>
        <family val="2"/>
      </rPr>
      <t xml:space="preserve"> (3</t>
    </r>
    <r>
      <rPr>
        <sz val="9"/>
        <color rgb="FF1E293B"/>
        <rFont val="Microsoft YaHei"/>
        <family val="2"/>
        <charset val="134"/>
      </rPr>
      <t>筆</t>
    </r>
    <r>
      <rPr>
        <sz val="9"/>
        <color rgb="FF1E293B"/>
        <rFont val="Segoe UI"/>
        <family val="2"/>
      </rPr>
      <t>)</t>
    </r>
    <r>
      <rPr>
        <sz val="9"/>
        <color rgb="FF1E293B"/>
        <rFont val="Microsoft YaHei"/>
        <family val="2"/>
        <charset val="134"/>
      </rPr>
      <t>、喉管工程</t>
    </r>
    <r>
      <rPr>
        <sz val="9"/>
        <color rgb="FF1E293B"/>
        <rFont val="Segoe UI"/>
        <family val="2"/>
      </rPr>
      <t xml:space="preserve"> (3</t>
    </r>
    <r>
      <rPr>
        <sz val="9"/>
        <color rgb="FF1E293B"/>
        <rFont val="Microsoft YaHei"/>
        <family val="2"/>
        <charset val="134"/>
      </rPr>
      <t>筆</t>
    </r>
    <r>
      <rPr>
        <sz val="9"/>
        <color rgb="FF1E293B"/>
        <rFont val="Segoe UI"/>
        <family val="2"/>
      </rPr>
      <t>)</t>
    </r>
    <r>
      <rPr>
        <sz val="9"/>
        <color rgb="FF1E293B"/>
        <rFont val="Microsoft YaHei"/>
        <family val="2"/>
        <charset val="134"/>
      </rPr>
      <t>、</t>
    </r>
    <r>
      <rPr>
        <sz val="9"/>
        <color rgb="FF1E293B"/>
        <rFont val="Segoe UI"/>
        <family val="2"/>
      </rPr>
      <t>FS Services installation (3</t>
    </r>
    <r>
      <rPr>
        <sz val="9"/>
        <color rgb="FF1E293B"/>
        <rFont val="Microsoft YaHei"/>
        <family val="2"/>
        <charset val="134"/>
      </rPr>
      <t>筆</t>
    </r>
    <r>
      <rPr>
        <sz val="9"/>
        <color rgb="FF1E293B"/>
        <rFont val="Segoe UI"/>
        <family val="2"/>
      </rPr>
      <t>)</t>
    </r>
    <r>
      <rPr>
        <sz val="9"/>
        <color rgb="FF1E293B"/>
        <rFont val="Microsoft YaHei"/>
        <family val="2"/>
        <charset val="134"/>
      </rPr>
      <t>、消防年檢</t>
    </r>
    <r>
      <rPr>
        <sz val="9"/>
        <color rgb="FF1E293B"/>
        <rFont val="Segoe UI"/>
        <family val="2"/>
      </rPr>
      <t xml:space="preserve"> (1</t>
    </r>
    <r>
      <rPr>
        <sz val="9"/>
        <color rgb="FF1E293B"/>
        <rFont val="Microsoft YaHei"/>
        <family val="2"/>
        <charset val="134"/>
      </rPr>
      <t>筆</t>
    </r>
    <r>
      <rPr>
        <sz val="9"/>
        <color rgb="FF1E293B"/>
        <rFont val="Segoe UI"/>
        <family val="2"/>
      </rPr>
      <t>)</t>
    </r>
    <r>
      <rPr>
        <sz val="9"/>
        <color rgb="FF1E293B"/>
        <rFont val="Microsoft YaHei"/>
        <family val="2"/>
        <charset val="134"/>
      </rPr>
      <t>、消防電工程</t>
    </r>
    <r>
      <rPr>
        <sz val="9"/>
        <color rgb="FF1E293B"/>
        <rFont val="Segoe UI"/>
        <family val="2"/>
      </rPr>
      <t xml:space="preserve"> (1</t>
    </r>
    <r>
      <rPr>
        <sz val="9"/>
        <color rgb="FF1E293B"/>
        <rFont val="Microsoft YaHei"/>
        <family val="2"/>
        <charset val="134"/>
      </rPr>
      <t>筆</t>
    </r>
    <r>
      <rPr>
        <sz val="9"/>
        <color rgb="FF1E293B"/>
        <rFont val="Segoe UI"/>
        <family val="2"/>
      </rPr>
      <t>)</t>
    </r>
    <r>
      <rPr>
        <sz val="9"/>
        <color rgb="FF1E293B"/>
        <rFont val="Microsoft YaHei"/>
        <family val="2"/>
        <charset val="134"/>
      </rPr>
      <t>、消防訂金</t>
    </r>
    <r>
      <rPr>
        <sz val="9"/>
        <color rgb="FF1E293B"/>
        <rFont val="Segoe UI"/>
        <family val="2"/>
      </rPr>
      <t xml:space="preserve"> (1</t>
    </r>
    <r>
      <rPr>
        <sz val="9"/>
        <color rgb="FF1E293B"/>
        <rFont val="Microsoft YaHei"/>
        <family val="2"/>
        <charset val="134"/>
      </rPr>
      <t>筆</t>
    </r>
    <r>
      <rPr>
        <sz val="9"/>
        <color rgb="FF1E293B"/>
        <rFont val="Segoe UI"/>
        <family val="2"/>
      </rPr>
      <t>)</t>
    </r>
    <phoneticPr fontId="10" type="noConversion"/>
  </si>
  <si>
    <r>
      <t>Salary (3450</t>
    </r>
    <r>
      <rPr>
        <sz val="9"/>
        <color rgb="FF1E293B"/>
        <rFont val="Microsoft YaHei"/>
        <family val="2"/>
        <charset val="134"/>
      </rPr>
      <t>筆</t>
    </r>
    <r>
      <rPr>
        <sz val="9"/>
        <color rgb="FF1E293B"/>
        <rFont val="Segoe UI"/>
        <family val="2"/>
      </rPr>
      <t>)</t>
    </r>
    <r>
      <rPr>
        <sz val="9"/>
        <color rgb="FF1E293B"/>
        <rFont val="Microsoft YaHei"/>
        <family val="2"/>
        <charset val="134"/>
      </rPr>
      <t>、</t>
    </r>
    <r>
      <rPr>
        <sz val="9"/>
        <color rgb="FF1E293B"/>
        <rFont val="Segoe UI"/>
        <family val="2"/>
      </rPr>
      <t>Basic salary (10</t>
    </r>
    <r>
      <rPr>
        <sz val="9"/>
        <color rgb="FF1E293B"/>
        <rFont val="Microsoft YaHei"/>
        <family val="2"/>
        <charset val="134"/>
      </rPr>
      <t>筆</t>
    </r>
    <r>
      <rPr>
        <sz val="9"/>
        <color rgb="FF1E293B"/>
        <rFont val="Segoe UI"/>
        <family val="2"/>
      </rPr>
      <t>)</t>
    </r>
    <r>
      <rPr>
        <sz val="9"/>
        <color rgb="FF1E293B"/>
        <rFont val="Microsoft YaHei"/>
        <family val="2"/>
        <charset val="134"/>
      </rPr>
      <t>、獎金</t>
    </r>
    <r>
      <rPr>
        <sz val="9"/>
        <color rgb="FF1E293B"/>
        <rFont val="Segoe UI"/>
        <family val="2"/>
      </rPr>
      <t xml:space="preserve"> (7</t>
    </r>
    <r>
      <rPr>
        <sz val="9"/>
        <color rgb="FF1E293B"/>
        <rFont val="Microsoft YaHei"/>
        <family val="2"/>
        <charset val="134"/>
      </rPr>
      <t>筆</t>
    </r>
    <r>
      <rPr>
        <sz val="9"/>
        <color rgb="FF1E293B"/>
        <rFont val="Segoe UI"/>
        <family val="2"/>
      </rPr>
      <t>)</t>
    </r>
    <r>
      <rPr>
        <sz val="9"/>
        <color rgb="FF1E293B"/>
        <rFont val="Microsoft YaHei"/>
        <family val="2"/>
        <charset val="134"/>
      </rPr>
      <t>、花紅</t>
    </r>
    <r>
      <rPr>
        <sz val="9"/>
        <color rgb="FF1E293B"/>
        <rFont val="Segoe UI"/>
        <family val="2"/>
      </rPr>
      <t xml:space="preserve"> (2</t>
    </r>
    <r>
      <rPr>
        <sz val="9"/>
        <color rgb="FF1E293B"/>
        <rFont val="Microsoft YaHei"/>
        <family val="2"/>
        <charset val="134"/>
      </rPr>
      <t>筆</t>
    </r>
    <r>
      <rPr>
        <sz val="9"/>
        <color rgb="FF1E293B"/>
        <rFont val="Segoe UI"/>
        <family val="2"/>
      </rPr>
      <t>)</t>
    </r>
    <r>
      <rPr>
        <sz val="9"/>
        <color rgb="FF1E293B"/>
        <rFont val="Microsoft YaHei"/>
        <family val="2"/>
        <charset val="134"/>
      </rPr>
      <t>、利是</t>
    </r>
    <r>
      <rPr>
        <sz val="9"/>
        <color rgb="FF1E293B"/>
        <rFont val="Segoe UI"/>
        <family val="2"/>
      </rPr>
      <t xml:space="preserve"> (2</t>
    </r>
    <r>
      <rPr>
        <sz val="9"/>
        <color rgb="FF1E293B"/>
        <rFont val="Microsoft YaHei"/>
        <family val="2"/>
        <charset val="134"/>
      </rPr>
      <t>筆</t>
    </r>
    <r>
      <rPr>
        <sz val="9"/>
        <color rgb="FF1E293B"/>
        <rFont val="Segoe UI"/>
        <family val="2"/>
      </rPr>
      <t>)</t>
    </r>
    <phoneticPr fontId="10" type="noConversion"/>
  </si>
  <si>
    <r>
      <rPr>
        <sz val="9"/>
        <color rgb="FF1E293B"/>
        <rFont val="Microsoft YaHei"/>
        <family val="2"/>
        <charset val="134"/>
      </rPr>
      <t>棚架</t>
    </r>
    <r>
      <rPr>
        <sz val="9"/>
        <color rgb="FF1E293B"/>
        <rFont val="Segoe UI"/>
        <family val="2"/>
      </rPr>
      <t xml:space="preserve"> (132</t>
    </r>
    <r>
      <rPr>
        <sz val="9"/>
        <color rgb="FF1E293B"/>
        <rFont val="Microsoft YaHei"/>
        <family val="2"/>
        <charset val="134"/>
      </rPr>
      <t>筆</t>
    </r>
    <r>
      <rPr>
        <sz val="9"/>
        <color rgb="FF1E293B"/>
        <rFont val="Segoe UI"/>
        <family val="2"/>
      </rPr>
      <t>)</t>
    </r>
    <r>
      <rPr>
        <sz val="9"/>
        <color rgb="FF1E293B"/>
        <rFont val="Microsoft YaHei"/>
        <family val="2"/>
        <charset val="134"/>
      </rPr>
      <t>、租機費</t>
    </r>
    <r>
      <rPr>
        <sz val="9"/>
        <color rgb="FF1E293B"/>
        <rFont val="Segoe UI"/>
        <family val="2"/>
      </rPr>
      <t xml:space="preserve"> (57</t>
    </r>
    <r>
      <rPr>
        <sz val="9"/>
        <color rgb="FF1E293B"/>
        <rFont val="Microsoft YaHei"/>
        <family val="2"/>
        <charset val="134"/>
      </rPr>
      <t>筆</t>
    </r>
    <r>
      <rPr>
        <sz val="9"/>
        <color rgb="FF1E293B"/>
        <rFont val="Segoe UI"/>
        <family val="2"/>
      </rPr>
      <t>)</t>
    </r>
    <r>
      <rPr>
        <sz val="9"/>
        <color rgb="FF1E293B"/>
        <rFont val="Microsoft YaHei"/>
        <family val="2"/>
        <charset val="134"/>
      </rPr>
      <t>、環保斗</t>
    </r>
    <r>
      <rPr>
        <sz val="9"/>
        <color rgb="FF1E293B"/>
        <rFont val="Segoe UI"/>
        <family val="2"/>
      </rPr>
      <t xml:space="preserve"> (27</t>
    </r>
    <r>
      <rPr>
        <sz val="9"/>
        <color rgb="FF1E293B"/>
        <rFont val="Microsoft YaHei"/>
        <family val="2"/>
        <charset val="134"/>
      </rPr>
      <t>筆</t>
    </r>
    <r>
      <rPr>
        <sz val="9"/>
        <color rgb="FF1E293B"/>
        <rFont val="Segoe UI"/>
        <family val="2"/>
      </rPr>
      <t>)</t>
    </r>
    <r>
      <rPr>
        <sz val="9"/>
        <color rgb="FF1E293B"/>
        <rFont val="Microsoft YaHei"/>
        <family val="2"/>
        <charset val="134"/>
      </rPr>
      <t>、租船費</t>
    </r>
    <r>
      <rPr>
        <sz val="9"/>
        <color rgb="FF1E293B"/>
        <rFont val="Segoe UI"/>
        <family val="2"/>
      </rPr>
      <t xml:space="preserve"> (20</t>
    </r>
    <r>
      <rPr>
        <sz val="9"/>
        <color rgb="FF1E293B"/>
        <rFont val="Microsoft YaHei"/>
        <family val="2"/>
        <charset val="134"/>
      </rPr>
      <t>筆</t>
    </r>
    <r>
      <rPr>
        <sz val="9"/>
        <color rgb="FF1E293B"/>
        <rFont val="Segoe UI"/>
        <family val="2"/>
      </rPr>
      <t>)</t>
    </r>
    <r>
      <rPr>
        <sz val="9"/>
        <color rgb="FF1E293B"/>
        <rFont val="Microsoft YaHei"/>
        <family val="2"/>
        <charset val="134"/>
      </rPr>
      <t>、通架</t>
    </r>
    <r>
      <rPr>
        <sz val="9"/>
        <color rgb="FF1E293B"/>
        <rFont val="Segoe UI"/>
        <family val="2"/>
      </rPr>
      <t xml:space="preserve"> (11</t>
    </r>
    <r>
      <rPr>
        <sz val="9"/>
        <color rgb="FF1E293B"/>
        <rFont val="Microsoft YaHei"/>
        <family val="2"/>
        <charset val="134"/>
      </rPr>
      <t>筆</t>
    </r>
    <r>
      <rPr>
        <sz val="9"/>
        <color rgb="FF1E293B"/>
        <rFont val="Segoe UI"/>
        <family val="2"/>
      </rPr>
      <t>)</t>
    </r>
    <r>
      <rPr>
        <sz val="9"/>
        <color rgb="FF1E293B"/>
        <rFont val="Microsoft YaHei"/>
        <family val="2"/>
        <charset val="134"/>
      </rPr>
      <t>、升降台</t>
    </r>
    <r>
      <rPr>
        <sz val="9"/>
        <color rgb="FF1E293B"/>
        <rFont val="Segoe UI"/>
        <family val="2"/>
      </rPr>
      <t xml:space="preserve"> (3</t>
    </r>
    <r>
      <rPr>
        <sz val="9"/>
        <color rgb="FF1E293B"/>
        <rFont val="Microsoft YaHei"/>
        <family val="2"/>
        <charset val="134"/>
      </rPr>
      <t>筆</t>
    </r>
    <r>
      <rPr>
        <sz val="9"/>
        <color rgb="FF1E293B"/>
        <rFont val="Segoe UI"/>
        <family val="2"/>
      </rPr>
      <t>)</t>
    </r>
    <r>
      <rPr>
        <sz val="9"/>
        <color rgb="FF1E293B"/>
        <rFont val="Microsoft YaHei"/>
        <family val="2"/>
        <charset val="134"/>
      </rPr>
      <t>、吊船</t>
    </r>
    <r>
      <rPr>
        <sz val="9"/>
        <color rgb="FF1E293B"/>
        <rFont val="Segoe UI"/>
        <family val="2"/>
      </rPr>
      <t xml:space="preserve"> (1</t>
    </r>
    <r>
      <rPr>
        <sz val="9"/>
        <color rgb="FF1E293B"/>
        <rFont val="Microsoft YaHei"/>
        <family val="2"/>
        <charset val="134"/>
      </rPr>
      <t>筆</t>
    </r>
    <r>
      <rPr>
        <sz val="9"/>
        <color rgb="FF1E293B"/>
        <rFont val="Segoe UI"/>
        <family val="2"/>
      </rPr>
      <t>)</t>
    </r>
    <r>
      <rPr>
        <sz val="9"/>
        <color rgb="FF1E293B"/>
        <rFont val="Microsoft YaHei"/>
        <family val="2"/>
        <charset val="134"/>
      </rPr>
      <t>、租水馬</t>
    </r>
    <r>
      <rPr>
        <sz val="9"/>
        <color rgb="FF1E293B"/>
        <rFont val="Segoe UI"/>
        <family val="2"/>
      </rPr>
      <t xml:space="preserve"> (1</t>
    </r>
    <r>
      <rPr>
        <sz val="9"/>
        <color rgb="FF1E293B"/>
        <rFont val="Microsoft YaHei"/>
        <family val="2"/>
        <charset val="134"/>
      </rPr>
      <t>筆</t>
    </r>
    <r>
      <rPr>
        <sz val="9"/>
        <color rgb="FF1E293B"/>
        <rFont val="Segoe UI"/>
        <family val="2"/>
      </rPr>
      <t>)</t>
    </r>
    <phoneticPr fontId="10" type="noConversion"/>
  </si>
  <si>
    <r>
      <rPr>
        <sz val="9"/>
        <color rgb="FF1E293B"/>
        <rFont val="Microsoft YaHei"/>
        <family val="2"/>
        <charset val="134"/>
      </rPr>
      <t>還款</t>
    </r>
    <r>
      <rPr>
        <sz val="9"/>
        <color rgb="FF1E293B"/>
        <rFont val="Segoe UI"/>
        <family val="2"/>
      </rPr>
      <t xml:space="preserve"> (123</t>
    </r>
    <r>
      <rPr>
        <sz val="9"/>
        <color rgb="FF1E293B"/>
        <rFont val="Microsoft YaHei"/>
        <family val="2"/>
        <charset val="134"/>
      </rPr>
      <t>筆</t>
    </r>
    <r>
      <rPr>
        <sz val="9"/>
        <color rgb="FF1E293B"/>
        <rFont val="Segoe UI"/>
        <family val="2"/>
      </rPr>
      <t>)</t>
    </r>
    <r>
      <rPr>
        <sz val="9"/>
        <color rgb="FF1E293B"/>
        <rFont val="Microsoft YaHei"/>
        <family val="2"/>
        <charset val="134"/>
      </rPr>
      <t>、内部轉賬</t>
    </r>
    <r>
      <rPr>
        <sz val="9"/>
        <color rgb="FF1E293B"/>
        <rFont val="Segoe UI"/>
        <family val="2"/>
      </rPr>
      <t xml:space="preserve"> (97</t>
    </r>
    <r>
      <rPr>
        <sz val="9"/>
        <color rgb="FF1E293B"/>
        <rFont val="Microsoft YaHei"/>
        <family val="2"/>
        <charset val="134"/>
      </rPr>
      <t>筆</t>
    </r>
    <r>
      <rPr>
        <sz val="9"/>
        <color rgb="FF1E293B"/>
        <rFont val="Segoe UI"/>
        <family val="2"/>
      </rPr>
      <t>)</t>
    </r>
    <r>
      <rPr>
        <sz val="9"/>
        <color rgb="FF1E293B"/>
        <rFont val="Microsoft YaHei"/>
        <family val="2"/>
        <charset val="134"/>
      </rPr>
      <t>、內部轉賬</t>
    </r>
    <r>
      <rPr>
        <sz val="9"/>
        <color rgb="FF1E293B"/>
        <rFont val="Segoe UI"/>
        <family val="2"/>
      </rPr>
      <t xml:space="preserve"> (6</t>
    </r>
    <r>
      <rPr>
        <sz val="9"/>
        <color rgb="FF1E293B"/>
        <rFont val="Microsoft YaHei"/>
        <family val="2"/>
        <charset val="134"/>
      </rPr>
      <t>筆</t>
    </r>
    <r>
      <rPr>
        <sz val="9"/>
        <color rgb="FF1E293B"/>
        <rFont val="Segoe UI"/>
        <family val="2"/>
      </rPr>
      <t>)</t>
    </r>
    <r>
      <rPr>
        <sz val="9"/>
        <color rgb="FF1E293B"/>
        <rFont val="Microsoft YaHei"/>
        <family val="2"/>
        <charset val="134"/>
      </rPr>
      <t>、轉賬</t>
    </r>
    <r>
      <rPr>
        <sz val="9"/>
        <color rgb="FF1E293B"/>
        <rFont val="Segoe UI"/>
        <family val="2"/>
      </rPr>
      <t xml:space="preserve"> (5</t>
    </r>
    <r>
      <rPr>
        <sz val="9"/>
        <color rgb="FF1E293B"/>
        <rFont val="Microsoft YaHei"/>
        <family val="2"/>
        <charset val="134"/>
      </rPr>
      <t>筆</t>
    </r>
    <r>
      <rPr>
        <sz val="9"/>
        <color rgb="FF1E293B"/>
        <rFont val="Segoe UI"/>
        <family val="2"/>
      </rPr>
      <t>)</t>
    </r>
    <r>
      <rPr>
        <sz val="9"/>
        <color rgb="FF1E293B"/>
        <rFont val="Microsoft YaHei"/>
        <family val="2"/>
        <charset val="134"/>
      </rPr>
      <t>、套現</t>
    </r>
    <r>
      <rPr>
        <sz val="9"/>
        <color rgb="FF1E293B"/>
        <rFont val="Segoe UI"/>
        <family val="2"/>
      </rPr>
      <t xml:space="preserve"> (3</t>
    </r>
    <r>
      <rPr>
        <sz val="9"/>
        <color rgb="FF1E293B"/>
        <rFont val="Microsoft YaHei"/>
        <family val="2"/>
        <charset val="134"/>
      </rPr>
      <t>筆</t>
    </r>
    <r>
      <rPr>
        <sz val="9"/>
        <color rgb="FF1E293B"/>
        <rFont val="Segoe UI"/>
        <family val="2"/>
      </rPr>
      <t>)</t>
    </r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</si>
</sst>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$#,##0.00"/>
  </numFmts>
  <fonts count="14">
    <font>
      <sz val="11"/>
      <color theme="1"/>
      <name val="宋体"/>
      <family val="2"/>
      <scheme val="minor"/>
    </font>
    <font>
      <b/>
      <sz val="15"/>
      <color rgb="FF1E3A8A"/>
      <name val="Segoe UI"/>
    </font>
    <font>
      <i/>
      <sz val="10"/>
      <color rgb="FF64748B"/>
      <name val="Segoe UI"/>
    </font>
    <font>
      <sz val="9"/>
      <color rgb="FF64748B"/>
      <name val="Segoe UI"/>
    </font>
    <font>
      <b/>
      <sz val="16"/>
      <color rgb="FF0F172A"/>
      <name val="Segoe UI"/>
    </font>
    <font>
      <b/>
      <sz val="10"/>
      <color rgb="FFFFFFFF"/>
      <name val="Segoe UI"/>
    </font>
    <font>
      <sz val="9"/>
      <color rgb="FF1E293B"/>
      <name val="Segoe UI"/>
    </font>
    <font>
      <b/>
      <sz val="9"/>
      <color rgb="FF1E40AF"/>
      <name val="Consolas"/>
    </font>
    <font>
      <b/>
      <sz val="9"/>
      <color rgb="FF0F172A"/>
      <name val="Segoe UI"/>
    </font>
    <font>
      <b/>
      <sz val="11"/>
      <color rgb="FF0F172A"/>
      <name val="Segoe UI"/>
    </font>
    <font>
      <sz val="9"/>
      <name val="宋体"/>
      <family val="3"/>
      <charset val="134"/>
      <scheme val="minor"/>
    </font>
    <font>
      <sz val="9"/>
      <color rgb="FF1E293B"/>
      <name val="Microsoft YaHei"/>
      <family val="2"/>
      <charset val="134"/>
    </font>
    <font>
      <sz val="9"/>
      <color rgb="FF1E293B"/>
      <name val="Segoe UI"/>
      <family val="2"/>
    </font>
    <font>
      <sz val="9"/>
      <color rgb="FF1E293B"/>
      <name val="Segoe UI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F8FAFC"/>
        <bgColor rgb="FFF8FAFC"/>
      </patternFill>
    </fill>
    <fill>
      <patternFill patternType="solid">
        <fgColor rgb="FF1E3A8A"/>
        <bgColor rgb="FF1E3A8A"/>
      </patternFill>
    </fill>
    <fill>
      <patternFill patternType="solid">
        <fgColor rgb="FFEFF6FF"/>
        <bgColor rgb="FFEFF6FF"/>
      </patternFill>
    </fill>
    <fill>
      <patternFill patternType="solid">
        <fgColor rgb="FF2563EB"/>
        <bgColor rgb="FF2563EB"/>
      </patternFill>
    </fill>
  </fills>
  <borders count="4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1E3A8A"/>
      </top>
      <bottom style="double">
        <color rgb="FF1E3A8A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0" fontId="5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3" fontId="6" fillId="0" borderId="2" xfId="0" applyNumberFormat="1" applyFont="1" applyBorder="1" applyAlignment="1">
      <alignment horizontal="right" vertical="center"/>
    </xf>
    <xf numFmtId="10" fontId="6" fillId="0" borderId="2" xfId="0" applyNumberFormat="1" applyFont="1" applyBorder="1" applyAlignment="1">
      <alignment horizontal="right" vertical="center"/>
    </xf>
    <xf numFmtId="176" fontId="6" fillId="0" borderId="2" xfId="0" applyNumberFormat="1" applyFont="1" applyBorder="1" applyAlignment="1">
      <alignment horizontal="right" vertical="center"/>
    </xf>
    <xf numFmtId="3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left" vertical="center"/>
    </xf>
    <xf numFmtId="3" fontId="6" fillId="2" borderId="2" xfId="0" applyNumberFormat="1" applyFont="1" applyFill="1" applyBorder="1" applyAlignment="1">
      <alignment horizontal="right" vertical="center"/>
    </xf>
    <xf numFmtId="10" fontId="6" fillId="2" borderId="2" xfId="0" applyNumberFormat="1" applyFont="1" applyFill="1" applyBorder="1" applyAlignment="1">
      <alignment horizontal="right" vertical="center"/>
    </xf>
    <xf numFmtId="176" fontId="6" fillId="2" borderId="2" xfId="0" applyNumberFormat="1" applyFont="1" applyFill="1" applyBorder="1" applyAlignment="1">
      <alignment horizontal="right" vertical="center"/>
    </xf>
    <xf numFmtId="3" fontId="6" fillId="2" borderId="2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left" vertical="center"/>
    </xf>
    <xf numFmtId="0" fontId="8" fillId="4" borderId="3" xfId="0" applyFont="1" applyFill="1" applyBorder="1" applyAlignment="1">
      <alignment horizontal="center" vertical="center"/>
    </xf>
    <xf numFmtId="0" fontId="8" fillId="4" borderId="3" xfId="0" applyFont="1" applyFill="1" applyBorder="1"/>
    <xf numFmtId="3" fontId="8" fillId="4" borderId="3" xfId="0" applyNumberFormat="1" applyFont="1" applyFill="1" applyBorder="1" applyAlignment="1">
      <alignment horizontal="right" vertical="center"/>
    </xf>
    <xf numFmtId="10" fontId="8" fillId="4" borderId="3" xfId="0" applyNumberFormat="1" applyFont="1" applyFill="1" applyBorder="1" applyAlignment="1">
      <alignment horizontal="right" vertical="center"/>
    </xf>
    <xf numFmtId="176" fontId="8" fillId="4" borderId="3" xfId="0" applyNumberFormat="1" applyFont="1" applyFill="1" applyBorder="1" applyAlignment="1">
      <alignment horizontal="right" vertical="center"/>
    </xf>
    <xf numFmtId="0" fontId="9" fillId="0" borderId="0" xfId="0" applyFont="1"/>
    <xf numFmtId="0" fontId="5" fillId="5" borderId="2" xfId="0" applyFont="1" applyFill="1" applyBorder="1" applyAlignment="1">
      <alignment horizontal="center" vertical="center" wrapText="1"/>
    </xf>
    <xf numFmtId="0" fontId="8" fillId="0" borderId="2" xfId="0" applyFont="1" applyBorder="1"/>
    <xf numFmtId="0" fontId="6" fillId="0" borderId="2" xfId="0" applyFont="1" applyBorder="1"/>
    <xf numFmtId="0" fontId="8" fillId="2" borderId="2" xfId="0" applyFont="1" applyFill="1" applyBorder="1"/>
    <xf numFmtId="0" fontId="6" fillId="2" borderId="2" xfId="0" applyFont="1" applyFill="1" applyBorder="1"/>
    <xf numFmtId="0" fontId="4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3" fillId="2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0" fillId="0" borderId="2" xfId="0" applyBorder="1"/>
    <xf numFmtId="0" fontId="13" fillId="2" borderId="2" xfId="0" applyFont="1" applyFill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>
      <pane xSplit="3" ySplit="6" topLeftCell="D12" activePane="bottomRight" state="frozen"/>
      <selection pane="topRight"/>
      <selection pane="bottomLeft"/>
      <selection pane="bottomRight" activeCell="J10" sqref="J10"/>
    </sheetView>
  </sheetViews>
  <sheetFormatPr defaultRowHeight="14"/>
  <cols>
    <col min="1" max="1" width="10" customWidth="1"/>
    <col min="2" max="2" width="11" customWidth="1"/>
    <col min="3" max="3" width="41.36328125" customWidth="1"/>
    <col min="4" max="4" width="18.36328125" customWidth="1"/>
    <col min="5" max="5" width="12" customWidth="1"/>
    <col min="6" max="6" width="10" customWidth="1"/>
    <col min="7" max="7" width="18" customWidth="1"/>
    <col min="8" max="8" width="10" customWidth="1"/>
    <col min="9" max="9" width="11" customWidth="1"/>
    <col min="10" max="10" width="76.453125" customWidth="1"/>
    <col min="11" max="11" width="40" customWidth="1"/>
  </cols>
  <sheetData>
    <row r="1" spans="1:12" ht="22.5">
      <c r="A1" s="1" t="s">
        <v>0</v>
      </c>
    </row>
    <row r="2" spans="1:12" ht="16">
      <c r="A2" s="2" t="s">
        <v>1</v>
      </c>
    </row>
    <row r="3" spans="1:12">
      <c r="B3" s="33" t="s">
        <v>2</v>
      </c>
      <c r="C3" s="32"/>
      <c r="D3" s="33" t="s">
        <v>3</v>
      </c>
      <c r="E3" s="32"/>
      <c r="F3" s="32"/>
      <c r="G3" s="33" t="s">
        <v>4</v>
      </c>
      <c r="H3" s="32"/>
      <c r="I3" s="33" t="s">
        <v>5</v>
      </c>
      <c r="J3" s="32"/>
      <c r="K3" s="33" t="s">
        <v>6</v>
      </c>
      <c r="L3" s="32"/>
    </row>
    <row r="4" spans="1:12" ht="25">
      <c r="B4" s="31" t="s">
        <v>7</v>
      </c>
      <c r="C4" s="32"/>
      <c r="D4" s="31" t="s">
        <v>8</v>
      </c>
      <c r="E4" s="32"/>
      <c r="F4" s="32"/>
      <c r="G4" s="31" t="s">
        <v>9</v>
      </c>
      <c r="H4" s="32"/>
      <c r="I4" s="31" t="s">
        <v>10</v>
      </c>
      <c r="J4" s="32"/>
      <c r="K4" s="31" t="s">
        <v>11</v>
      </c>
      <c r="L4" s="32"/>
    </row>
    <row r="6" spans="1:12" ht="28" customHeight="1">
      <c r="A6" s="3" t="s">
        <v>12</v>
      </c>
      <c r="B6" s="3" t="s">
        <v>13</v>
      </c>
      <c r="C6" s="3" t="s">
        <v>14</v>
      </c>
      <c r="D6" s="3" t="s">
        <v>15</v>
      </c>
      <c r="E6" s="3" t="s">
        <v>16</v>
      </c>
      <c r="F6" s="3" t="s">
        <v>17</v>
      </c>
      <c r="G6" s="3" t="s">
        <v>18</v>
      </c>
      <c r="H6" s="3" t="s">
        <v>19</v>
      </c>
      <c r="I6" s="3" t="s">
        <v>20</v>
      </c>
      <c r="J6" s="3" t="s">
        <v>21</v>
      </c>
      <c r="K6" s="3" t="s">
        <v>22</v>
      </c>
    </row>
    <row r="7" spans="1:12" ht="22" customHeight="1">
      <c r="A7" s="4">
        <v>1</v>
      </c>
      <c r="B7" s="5" t="s">
        <v>23</v>
      </c>
      <c r="C7" s="6" t="s">
        <v>24</v>
      </c>
      <c r="D7" s="4" t="s">
        <v>25</v>
      </c>
      <c r="E7" s="7">
        <v>3471</v>
      </c>
      <c r="F7" s="8">
        <v>0.42355094569859669</v>
      </c>
      <c r="G7" s="9">
        <v>29661364.17891074</v>
      </c>
      <c r="H7" s="8">
        <v>0.21411604531216191</v>
      </c>
      <c r="I7" s="10">
        <v>5</v>
      </c>
      <c r="J7" s="37" t="s">
        <v>749</v>
      </c>
      <c r="K7" s="11" t="s">
        <v>26</v>
      </c>
    </row>
    <row r="8" spans="1:12" ht="22" customHeight="1">
      <c r="A8" s="12">
        <v>2</v>
      </c>
      <c r="B8" s="13" t="s">
        <v>27</v>
      </c>
      <c r="C8" s="14" t="s">
        <v>28</v>
      </c>
      <c r="D8" s="12" t="s">
        <v>29</v>
      </c>
      <c r="E8" s="15">
        <v>1537</v>
      </c>
      <c r="F8" s="16">
        <v>0.18755338621110429</v>
      </c>
      <c r="G8" s="17">
        <v>5476076.8559999969</v>
      </c>
      <c r="H8" s="16">
        <v>3.9530073976362698E-2</v>
      </c>
      <c r="I8" s="18">
        <v>1</v>
      </c>
      <c r="J8" s="19" t="s">
        <v>30</v>
      </c>
      <c r="K8" s="19" t="s">
        <v>31</v>
      </c>
    </row>
    <row r="9" spans="1:12" ht="22" customHeight="1">
      <c r="A9" s="4">
        <v>3</v>
      </c>
      <c r="B9" s="5" t="s">
        <v>32</v>
      </c>
      <c r="C9" s="6" t="s">
        <v>33</v>
      </c>
      <c r="D9" s="4" t="s">
        <v>34</v>
      </c>
      <c r="E9" s="7">
        <v>894</v>
      </c>
      <c r="F9" s="8">
        <v>0.1090909090909091</v>
      </c>
      <c r="G9" s="9">
        <v>13662968.380000001</v>
      </c>
      <c r="H9" s="8">
        <v>9.8628665192369042E-2</v>
      </c>
      <c r="I9" s="10">
        <v>14</v>
      </c>
      <c r="J9" s="11" t="s">
        <v>35</v>
      </c>
      <c r="K9" s="11" t="s">
        <v>36</v>
      </c>
    </row>
    <row r="10" spans="1:12" ht="22" customHeight="1">
      <c r="A10" s="12">
        <v>4</v>
      </c>
      <c r="B10" s="13" t="s">
        <v>37</v>
      </c>
      <c r="C10" s="14" t="s">
        <v>38</v>
      </c>
      <c r="D10" s="12" t="s">
        <v>39</v>
      </c>
      <c r="E10" s="15">
        <v>730</v>
      </c>
      <c r="F10" s="16">
        <v>8.9078706528370952E-2</v>
      </c>
      <c r="G10" s="17">
        <v>15808511.310000001</v>
      </c>
      <c r="H10" s="16">
        <v>0.1141166638038995</v>
      </c>
      <c r="I10" s="18">
        <v>13</v>
      </c>
      <c r="J10" s="19" t="s">
        <v>40</v>
      </c>
      <c r="K10" s="19" t="s">
        <v>41</v>
      </c>
    </row>
    <row r="11" spans="1:12" ht="22" customHeight="1">
      <c r="A11" s="4">
        <v>5</v>
      </c>
      <c r="B11" s="5" t="s">
        <v>42</v>
      </c>
      <c r="C11" s="6" t="s">
        <v>43</v>
      </c>
      <c r="D11" s="4" t="s">
        <v>44</v>
      </c>
      <c r="E11" s="7">
        <v>281</v>
      </c>
      <c r="F11" s="8">
        <v>3.4289200732153753E-2</v>
      </c>
      <c r="G11" s="9">
        <v>2796742</v>
      </c>
      <c r="H11" s="8">
        <v>2.018879958407958E-2</v>
      </c>
      <c r="I11" s="10">
        <v>3</v>
      </c>
      <c r="J11" s="11" t="s">
        <v>45</v>
      </c>
      <c r="K11" s="11" t="s">
        <v>46</v>
      </c>
    </row>
    <row r="12" spans="1:12" ht="22" customHeight="1">
      <c r="A12" s="12">
        <v>6</v>
      </c>
      <c r="B12" s="13" t="s">
        <v>47</v>
      </c>
      <c r="C12" s="14" t="s">
        <v>48</v>
      </c>
      <c r="D12" s="12" t="s">
        <v>49</v>
      </c>
      <c r="E12" s="15">
        <v>252</v>
      </c>
      <c r="F12" s="16">
        <v>3.0750457596095179E-2</v>
      </c>
      <c r="G12" s="17">
        <v>1411553.48</v>
      </c>
      <c r="H12" s="16">
        <v>1.01895599629605E-2</v>
      </c>
      <c r="I12" s="18">
        <v>8</v>
      </c>
      <c r="J12" s="36" t="s">
        <v>750</v>
      </c>
      <c r="K12" s="19" t="s">
        <v>50</v>
      </c>
    </row>
    <row r="13" spans="1:12" ht="22" customHeight="1">
      <c r="A13" s="4">
        <v>7</v>
      </c>
      <c r="B13" s="5" t="s">
        <v>51</v>
      </c>
      <c r="C13" s="6" t="s">
        <v>52</v>
      </c>
      <c r="D13" s="4" t="s">
        <v>53</v>
      </c>
      <c r="E13" s="7">
        <v>234</v>
      </c>
      <c r="F13" s="8">
        <v>2.8553996339231238E-2</v>
      </c>
      <c r="G13" s="9">
        <v>52043043.20000001</v>
      </c>
      <c r="H13" s="8">
        <v>0.37568233641515603</v>
      </c>
      <c r="I13" s="10">
        <v>5</v>
      </c>
      <c r="J13" s="38" t="s">
        <v>751</v>
      </c>
      <c r="K13" s="11" t="s">
        <v>54</v>
      </c>
    </row>
    <row r="14" spans="1:12" ht="22" customHeight="1">
      <c r="A14" s="12">
        <v>8</v>
      </c>
      <c r="B14" s="13" t="s">
        <v>55</v>
      </c>
      <c r="C14" s="14" t="s">
        <v>56</v>
      </c>
      <c r="D14" s="12" t="s">
        <v>57</v>
      </c>
      <c r="E14" s="15">
        <v>141</v>
      </c>
      <c r="F14" s="16">
        <v>1.7205613178767541E-2</v>
      </c>
      <c r="G14" s="17">
        <v>4645640</v>
      </c>
      <c r="H14" s="16">
        <v>3.3535411882749097E-2</v>
      </c>
      <c r="I14" s="18">
        <v>13</v>
      </c>
      <c r="J14" s="36" t="s">
        <v>748</v>
      </c>
      <c r="K14" s="19" t="s">
        <v>58</v>
      </c>
    </row>
    <row r="15" spans="1:12" ht="22" customHeight="1">
      <c r="A15" s="4">
        <v>9</v>
      </c>
      <c r="B15" s="5" t="s">
        <v>59</v>
      </c>
      <c r="C15" s="6" t="s">
        <v>60</v>
      </c>
      <c r="D15" s="4" t="s">
        <v>61</v>
      </c>
      <c r="E15" s="7">
        <v>130</v>
      </c>
      <c r="F15" s="8">
        <v>1.5863331299572909E-2</v>
      </c>
      <c r="G15" s="9">
        <v>1088928.6100000001</v>
      </c>
      <c r="H15" s="8">
        <v>7.8606326463650789E-3</v>
      </c>
      <c r="I15" s="10">
        <v>6</v>
      </c>
      <c r="J15" s="11" t="s">
        <v>62</v>
      </c>
      <c r="K15" s="11" t="s">
        <v>63</v>
      </c>
    </row>
    <row r="16" spans="1:12" ht="22" customHeight="1">
      <c r="A16" s="12">
        <v>10</v>
      </c>
      <c r="B16" s="13" t="s">
        <v>64</v>
      </c>
      <c r="C16" s="14" t="s">
        <v>65</v>
      </c>
      <c r="D16" s="12" t="s">
        <v>66</v>
      </c>
      <c r="E16" s="15">
        <v>130</v>
      </c>
      <c r="F16" s="16">
        <v>1.5863331299572909E-2</v>
      </c>
      <c r="G16" s="17">
        <v>1860776.86</v>
      </c>
      <c r="H16" s="16">
        <v>1.3432362047422651E-2</v>
      </c>
      <c r="I16" s="18">
        <v>33</v>
      </c>
      <c r="J16" s="19" t="s">
        <v>67</v>
      </c>
      <c r="K16" s="19" t="s">
        <v>68</v>
      </c>
    </row>
    <row r="17" spans="1:11" ht="22" customHeight="1">
      <c r="A17" s="4">
        <v>11</v>
      </c>
      <c r="B17" s="5" t="s">
        <v>69</v>
      </c>
      <c r="C17" s="6" t="s">
        <v>70</v>
      </c>
      <c r="D17" s="4" t="s">
        <v>71</v>
      </c>
      <c r="E17" s="7">
        <v>103</v>
      </c>
      <c r="F17" s="8">
        <v>1.2568639414276999E-2</v>
      </c>
      <c r="G17" s="9">
        <v>1190993.45</v>
      </c>
      <c r="H17" s="8">
        <v>8.5974065780831804E-3</v>
      </c>
      <c r="I17" s="10">
        <v>3</v>
      </c>
      <c r="J17" s="11" t="s">
        <v>72</v>
      </c>
      <c r="K17" s="11" t="s">
        <v>73</v>
      </c>
    </row>
    <row r="18" spans="1:11" ht="22" customHeight="1">
      <c r="A18" s="12">
        <v>12</v>
      </c>
      <c r="B18" s="13" t="s">
        <v>74</v>
      </c>
      <c r="C18" s="14" t="s">
        <v>75</v>
      </c>
      <c r="D18" s="12" t="s">
        <v>76</v>
      </c>
      <c r="E18" s="15">
        <v>75</v>
      </c>
      <c r="F18" s="16">
        <v>9.1519219035997561E-3</v>
      </c>
      <c r="G18" s="17">
        <v>5933682.5</v>
      </c>
      <c r="H18" s="16">
        <v>4.2833384984406968E-2</v>
      </c>
      <c r="I18" s="18">
        <v>1</v>
      </c>
      <c r="J18" s="19" t="s">
        <v>77</v>
      </c>
      <c r="K18" s="19" t="s">
        <v>78</v>
      </c>
    </row>
    <row r="19" spans="1:11" ht="22" customHeight="1">
      <c r="A19" s="4">
        <v>13</v>
      </c>
      <c r="B19" s="5" t="s">
        <v>79</v>
      </c>
      <c r="C19" s="6" t="s">
        <v>80</v>
      </c>
      <c r="D19" s="4" t="s">
        <v>81</v>
      </c>
      <c r="E19" s="7">
        <v>59</v>
      </c>
      <c r="F19" s="8">
        <v>7.1995118974984744E-3</v>
      </c>
      <c r="G19" s="9">
        <v>970130</v>
      </c>
      <c r="H19" s="8">
        <v>7.003062899796666E-3</v>
      </c>
      <c r="I19" s="10">
        <v>2</v>
      </c>
      <c r="J19" s="11" t="s">
        <v>82</v>
      </c>
      <c r="K19" s="11" t="s">
        <v>83</v>
      </c>
    </row>
    <row r="20" spans="1:11" ht="22" customHeight="1">
      <c r="A20" s="12">
        <v>14</v>
      </c>
      <c r="B20" s="13" t="s">
        <v>84</v>
      </c>
      <c r="C20" s="14" t="s">
        <v>85</v>
      </c>
      <c r="D20" s="12" t="s">
        <v>86</v>
      </c>
      <c r="E20" s="15">
        <v>53</v>
      </c>
      <c r="F20" s="16">
        <v>6.4673581452104941E-3</v>
      </c>
      <c r="G20" s="17">
        <v>911089</v>
      </c>
      <c r="H20" s="16">
        <v>6.576864517449048E-3</v>
      </c>
      <c r="I20" s="18">
        <v>12</v>
      </c>
      <c r="J20" s="19" t="s">
        <v>87</v>
      </c>
      <c r="K20" s="19" t="s">
        <v>88</v>
      </c>
    </row>
    <row r="21" spans="1:11" ht="22" customHeight="1">
      <c r="A21" s="4">
        <v>15</v>
      </c>
      <c r="B21" s="5" t="s">
        <v>89</v>
      </c>
      <c r="C21" s="6" t="s">
        <v>90</v>
      </c>
      <c r="D21" s="4" t="s">
        <v>91</v>
      </c>
      <c r="E21" s="7">
        <v>48</v>
      </c>
      <c r="F21" s="8">
        <v>5.8572300183038434E-3</v>
      </c>
      <c r="G21" s="9">
        <v>286035.58</v>
      </c>
      <c r="H21" s="8">
        <v>2.0648007569292991E-3</v>
      </c>
      <c r="I21" s="10">
        <v>5</v>
      </c>
      <c r="J21" s="11" t="s">
        <v>92</v>
      </c>
      <c r="K21" s="11" t="s">
        <v>93</v>
      </c>
    </row>
    <row r="22" spans="1:11" ht="22" customHeight="1">
      <c r="A22" s="12">
        <v>16</v>
      </c>
      <c r="B22" s="13" t="s">
        <v>94</v>
      </c>
      <c r="C22" s="14" t="s">
        <v>95</v>
      </c>
      <c r="D22" s="12" t="s">
        <v>96</v>
      </c>
      <c r="E22" s="15">
        <v>29</v>
      </c>
      <c r="F22" s="16">
        <v>3.538743136058572E-3</v>
      </c>
      <c r="G22" s="17">
        <v>72487.73</v>
      </c>
      <c r="H22" s="16">
        <v>5.2326609078523273E-4</v>
      </c>
      <c r="I22" s="18">
        <v>12</v>
      </c>
      <c r="J22" s="19" t="s">
        <v>97</v>
      </c>
      <c r="K22" s="19" t="s">
        <v>98</v>
      </c>
    </row>
    <row r="23" spans="1:11" ht="22" customHeight="1">
      <c r="A23" s="4">
        <v>17</v>
      </c>
      <c r="B23" s="5" t="s">
        <v>99</v>
      </c>
      <c r="C23" s="6" t="s">
        <v>100</v>
      </c>
      <c r="D23" s="4" t="s">
        <v>101</v>
      </c>
      <c r="E23" s="7">
        <v>24</v>
      </c>
      <c r="F23" s="8">
        <v>2.9286150091519221E-3</v>
      </c>
      <c r="G23" s="9">
        <v>633759.34699999995</v>
      </c>
      <c r="H23" s="8">
        <v>4.5749091053519236E-3</v>
      </c>
      <c r="I23" s="10">
        <v>2</v>
      </c>
      <c r="J23" s="11" t="s">
        <v>102</v>
      </c>
      <c r="K23" s="11" t="s">
        <v>103</v>
      </c>
    </row>
    <row r="24" spans="1:11" ht="22" customHeight="1">
      <c r="A24" s="12">
        <v>18</v>
      </c>
      <c r="B24" s="13" t="s">
        <v>104</v>
      </c>
      <c r="C24" s="14" t="s">
        <v>105</v>
      </c>
      <c r="D24" s="12" t="s">
        <v>106</v>
      </c>
      <c r="E24" s="15">
        <v>4</v>
      </c>
      <c r="F24" s="16">
        <v>4.8810250152532032E-4</v>
      </c>
      <c r="G24" s="17">
        <v>75603</v>
      </c>
      <c r="H24" s="16">
        <v>5.4575424367180416E-4</v>
      </c>
      <c r="I24" s="18">
        <v>3</v>
      </c>
      <c r="J24" s="19" t="s">
        <v>107</v>
      </c>
      <c r="K24" s="19" t="s">
        <v>108</v>
      </c>
    </row>
    <row r="25" spans="1:11" ht="25" customHeight="1">
      <c r="A25" s="20"/>
      <c r="B25" s="20" t="s">
        <v>109</v>
      </c>
      <c r="C25" s="21" t="s">
        <v>110</v>
      </c>
      <c r="D25" s="20" t="s">
        <v>111</v>
      </c>
      <c r="E25" s="22">
        <f>SUM(E7:E24)</f>
        <v>8195</v>
      </c>
      <c r="F25" s="23">
        <f>SUM(F7:F24)</f>
        <v>1</v>
      </c>
      <c r="G25" s="24">
        <f>SUM(G7:G24)</f>
        <v>138529385.48191077</v>
      </c>
      <c r="H25" s="23">
        <f>SUM(H7:H24)</f>
        <v>1.0000000000000002</v>
      </c>
      <c r="I25" s="22">
        <f>SUM(I7:I24)</f>
        <v>141</v>
      </c>
      <c r="J25" s="21" t="s">
        <v>112</v>
      </c>
      <c r="K25" s="21" t="s">
        <v>113</v>
      </c>
    </row>
  </sheetData>
  <mergeCells count="10">
    <mergeCell ref="K4:L4"/>
    <mergeCell ref="G3:H3"/>
    <mergeCell ref="B4:C4"/>
    <mergeCell ref="K3:L3"/>
    <mergeCell ref="I3:J3"/>
    <mergeCell ref="G4:H4"/>
    <mergeCell ref="I4:J4"/>
    <mergeCell ref="B3:C3"/>
    <mergeCell ref="D4:F4"/>
    <mergeCell ref="D3:F3"/>
  </mergeCells>
  <phoneticPr fontId="1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46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"/>
  <cols>
    <col min="1" max="1" width="10" customWidth="1"/>
    <col min="2" max="2" width="28" customWidth="1"/>
    <col min="3" max="3" width="32" customWidth="1"/>
    <col min="4" max="4" width="11" customWidth="1"/>
    <col min="5" max="5" width="16" customWidth="1"/>
    <col min="6" max="6" width="12" customWidth="1"/>
    <col min="7" max="7" width="10" customWidth="1"/>
    <col min="8" max="8" width="18" customWidth="1"/>
    <col min="9" max="9" width="10" customWidth="1"/>
    <col min="10" max="10" width="26" customWidth="1"/>
    <col min="11" max="11" width="38" customWidth="1"/>
    <col min="12" max="12" width="20" customWidth="1"/>
    <col min="13" max="13" width="42" customWidth="1"/>
  </cols>
  <sheetData>
    <row r="1" spans="1:13" ht="22.5">
      <c r="A1" s="1" t="s">
        <v>114</v>
      </c>
    </row>
    <row r="2" spans="1:13" ht="16">
      <c r="A2" s="2" t="s">
        <v>115</v>
      </c>
    </row>
    <row r="4" spans="1:13" ht="28" customHeight="1">
      <c r="A4" s="3" t="s">
        <v>12</v>
      </c>
      <c r="B4" s="3" t="s">
        <v>116</v>
      </c>
      <c r="C4" s="3" t="s">
        <v>117</v>
      </c>
      <c r="D4" s="3" t="s">
        <v>13</v>
      </c>
      <c r="E4" s="3" t="s">
        <v>118</v>
      </c>
      <c r="F4" s="3" t="s">
        <v>16</v>
      </c>
      <c r="G4" s="3" t="s">
        <v>17</v>
      </c>
      <c r="H4" s="3" t="s">
        <v>18</v>
      </c>
      <c r="I4" s="3" t="s">
        <v>19</v>
      </c>
      <c r="J4" s="3" t="s">
        <v>119</v>
      </c>
      <c r="K4" s="3" t="s">
        <v>120</v>
      </c>
      <c r="L4" s="3" t="s">
        <v>121</v>
      </c>
      <c r="M4" s="3" t="s">
        <v>122</v>
      </c>
    </row>
    <row r="5" spans="1:13" ht="20" customHeight="1">
      <c r="A5" s="4">
        <v>1</v>
      </c>
      <c r="B5" s="6" t="s">
        <v>123</v>
      </c>
      <c r="C5" s="6" t="s">
        <v>24</v>
      </c>
      <c r="D5" s="5" t="s">
        <v>23</v>
      </c>
      <c r="E5" s="4" t="s">
        <v>25</v>
      </c>
      <c r="F5" s="7">
        <v>3450</v>
      </c>
      <c r="G5" s="8">
        <v>0.42098840756558881</v>
      </c>
      <c r="H5" s="9">
        <v>29534764.17891074</v>
      </c>
      <c r="I5" s="8">
        <v>0.2132021597884545</v>
      </c>
      <c r="J5" s="11" t="s">
        <v>124</v>
      </c>
      <c r="K5" s="11" t="s">
        <v>125</v>
      </c>
      <c r="L5" s="4" t="s">
        <v>126</v>
      </c>
      <c r="M5" s="11" t="s">
        <v>127</v>
      </c>
    </row>
    <row r="6" spans="1:13" ht="20" customHeight="1">
      <c r="A6" s="12">
        <v>2</v>
      </c>
      <c r="B6" s="14" t="s">
        <v>128</v>
      </c>
      <c r="C6" s="14" t="s">
        <v>28</v>
      </c>
      <c r="D6" s="13" t="s">
        <v>27</v>
      </c>
      <c r="E6" s="12" t="s">
        <v>29</v>
      </c>
      <c r="F6" s="15">
        <v>1537</v>
      </c>
      <c r="G6" s="16">
        <v>0.18755338621110429</v>
      </c>
      <c r="H6" s="17">
        <v>5476076.8559999969</v>
      </c>
      <c r="I6" s="16">
        <v>3.9530073976362698E-2</v>
      </c>
      <c r="J6" s="19" t="s">
        <v>129</v>
      </c>
      <c r="K6" s="19" t="s">
        <v>130</v>
      </c>
      <c r="L6" s="12" t="s">
        <v>131</v>
      </c>
      <c r="M6" s="19" t="s">
        <v>31</v>
      </c>
    </row>
    <row r="7" spans="1:13" ht="20" customHeight="1">
      <c r="A7" s="4">
        <v>3</v>
      </c>
      <c r="B7" s="6" t="s">
        <v>132</v>
      </c>
      <c r="C7" s="6" t="s">
        <v>33</v>
      </c>
      <c r="D7" s="5" t="s">
        <v>32</v>
      </c>
      <c r="E7" s="4" t="s">
        <v>34</v>
      </c>
      <c r="F7" s="7">
        <v>812</v>
      </c>
      <c r="G7" s="8">
        <v>9.9084807809640019E-2</v>
      </c>
      <c r="H7" s="9">
        <v>12407919.08</v>
      </c>
      <c r="I7" s="8">
        <v>8.9568859609358745E-2</v>
      </c>
      <c r="J7" s="11" t="s">
        <v>133</v>
      </c>
      <c r="K7" s="11" t="s">
        <v>134</v>
      </c>
      <c r="L7" s="4" t="s">
        <v>135</v>
      </c>
      <c r="M7" s="11" t="s">
        <v>136</v>
      </c>
    </row>
    <row r="8" spans="1:13" ht="20" customHeight="1">
      <c r="A8" s="12">
        <v>4</v>
      </c>
      <c r="B8" s="14" t="s">
        <v>137</v>
      </c>
      <c r="C8" s="14" t="s">
        <v>38</v>
      </c>
      <c r="D8" s="13" t="s">
        <v>37</v>
      </c>
      <c r="E8" s="12" t="s">
        <v>39</v>
      </c>
      <c r="F8" s="15">
        <v>487</v>
      </c>
      <c r="G8" s="16">
        <v>5.9426479560707748E-2</v>
      </c>
      <c r="H8" s="17">
        <v>6333919.6099999994</v>
      </c>
      <c r="I8" s="16">
        <v>4.5722570615366567E-2</v>
      </c>
      <c r="J8" s="19" t="s">
        <v>138</v>
      </c>
      <c r="K8" s="19" t="s">
        <v>139</v>
      </c>
      <c r="L8" s="12" t="s">
        <v>140</v>
      </c>
      <c r="M8" s="19" t="s">
        <v>141</v>
      </c>
    </row>
    <row r="9" spans="1:13" ht="20" customHeight="1">
      <c r="A9" s="4">
        <v>5</v>
      </c>
      <c r="B9" s="6" t="s">
        <v>142</v>
      </c>
      <c r="C9" s="6" t="s">
        <v>43</v>
      </c>
      <c r="D9" s="5" t="s">
        <v>42</v>
      </c>
      <c r="E9" s="4" t="s">
        <v>44</v>
      </c>
      <c r="F9" s="7">
        <v>253</v>
      </c>
      <c r="G9" s="8">
        <v>3.087248322147651E-2</v>
      </c>
      <c r="H9" s="9">
        <v>2564971</v>
      </c>
      <c r="I9" s="8">
        <v>1.8515717737988061E-2</v>
      </c>
      <c r="J9" s="11" t="s">
        <v>143</v>
      </c>
      <c r="K9" s="11" t="s">
        <v>144</v>
      </c>
      <c r="L9" s="4" t="s">
        <v>145</v>
      </c>
      <c r="M9" s="11" t="s">
        <v>146</v>
      </c>
    </row>
    <row r="10" spans="1:13" ht="20" customHeight="1">
      <c r="A10" s="12">
        <v>6</v>
      </c>
      <c r="B10" s="14" t="s">
        <v>147</v>
      </c>
      <c r="C10" s="14" t="s">
        <v>48</v>
      </c>
      <c r="D10" s="13" t="s">
        <v>47</v>
      </c>
      <c r="E10" s="12" t="s">
        <v>49</v>
      </c>
      <c r="F10" s="15">
        <v>132</v>
      </c>
      <c r="G10" s="16">
        <v>1.6107382550335569E-2</v>
      </c>
      <c r="H10" s="17">
        <v>811711.69999999972</v>
      </c>
      <c r="I10" s="16">
        <v>5.8594910904733177E-3</v>
      </c>
      <c r="J10" s="19" t="s">
        <v>148</v>
      </c>
      <c r="K10" s="19" t="s">
        <v>149</v>
      </c>
      <c r="L10" s="12" t="s">
        <v>150</v>
      </c>
      <c r="M10" s="19" t="s">
        <v>151</v>
      </c>
    </row>
    <row r="11" spans="1:13" ht="20" customHeight="1">
      <c r="A11" s="4">
        <v>7</v>
      </c>
      <c r="B11" s="6" t="s">
        <v>152</v>
      </c>
      <c r="C11" s="6" t="s">
        <v>52</v>
      </c>
      <c r="D11" s="5" t="s">
        <v>51</v>
      </c>
      <c r="E11" s="4" t="s">
        <v>53</v>
      </c>
      <c r="F11" s="7">
        <v>123</v>
      </c>
      <c r="G11" s="8">
        <v>1.50091519219036E-2</v>
      </c>
      <c r="H11" s="9">
        <v>7775755.2000000086</v>
      </c>
      <c r="I11" s="8">
        <v>5.6130727592200093E-2</v>
      </c>
      <c r="J11" s="11" t="s">
        <v>153</v>
      </c>
      <c r="K11" s="11" t="s">
        <v>154</v>
      </c>
      <c r="L11" s="4" t="s">
        <v>155</v>
      </c>
      <c r="M11" s="11" t="s">
        <v>156</v>
      </c>
    </row>
    <row r="12" spans="1:13" ht="20" customHeight="1">
      <c r="A12" s="12">
        <v>8</v>
      </c>
      <c r="B12" s="14" t="s">
        <v>157</v>
      </c>
      <c r="C12" s="14" t="s">
        <v>38</v>
      </c>
      <c r="D12" s="13" t="s">
        <v>37</v>
      </c>
      <c r="E12" s="12" t="s">
        <v>39</v>
      </c>
      <c r="F12" s="15">
        <v>113</v>
      </c>
      <c r="G12" s="16">
        <v>1.3788895668090301E-2</v>
      </c>
      <c r="H12" s="17">
        <v>2001500</v>
      </c>
      <c r="I12" s="16">
        <v>1.4448198070302979E-2</v>
      </c>
      <c r="J12" s="19" t="s">
        <v>158</v>
      </c>
      <c r="K12" s="19" t="s">
        <v>159</v>
      </c>
      <c r="L12" s="12" t="s">
        <v>160</v>
      </c>
      <c r="M12" s="19" t="s">
        <v>161</v>
      </c>
    </row>
    <row r="13" spans="1:13" ht="20" customHeight="1">
      <c r="A13" s="4">
        <v>9</v>
      </c>
      <c r="B13" s="6" t="s">
        <v>162</v>
      </c>
      <c r="C13" s="6" t="s">
        <v>70</v>
      </c>
      <c r="D13" s="5" t="s">
        <v>69</v>
      </c>
      <c r="E13" s="4" t="s">
        <v>71</v>
      </c>
      <c r="F13" s="7">
        <v>101</v>
      </c>
      <c r="G13" s="8">
        <v>1.232458816351434E-2</v>
      </c>
      <c r="H13" s="9">
        <v>1161671.19</v>
      </c>
      <c r="I13" s="8">
        <v>8.3857384190280104E-3</v>
      </c>
      <c r="J13" s="11" t="s">
        <v>163</v>
      </c>
      <c r="K13" s="11" t="s">
        <v>164</v>
      </c>
      <c r="L13" s="4" t="s">
        <v>165</v>
      </c>
      <c r="M13" s="11" t="s">
        <v>166</v>
      </c>
    </row>
    <row r="14" spans="1:13" ht="20" customHeight="1">
      <c r="A14" s="12">
        <v>10</v>
      </c>
      <c r="B14" s="14" t="s">
        <v>167</v>
      </c>
      <c r="C14" s="14" t="s">
        <v>52</v>
      </c>
      <c r="D14" s="13" t="s">
        <v>51</v>
      </c>
      <c r="E14" s="12" t="s">
        <v>53</v>
      </c>
      <c r="F14" s="15">
        <v>97</v>
      </c>
      <c r="G14" s="16">
        <v>1.183648566198902E-2</v>
      </c>
      <c r="H14" s="17">
        <v>41059000</v>
      </c>
      <c r="I14" s="16">
        <v>0.29639198829306518</v>
      </c>
      <c r="J14" s="19" t="s">
        <v>168</v>
      </c>
      <c r="K14" s="19" t="s">
        <v>169</v>
      </c>
      <c r="L14" s="12" t="s">
        <v>170</v>
      </c>
      <c r="M14" s="19" t="s">
        <v>171</v>
      </c>
    </row>
    <row r="15" spans="1:13" ht="20" customHeight="1">
      <c r="A15" s="4">
        <v>11</v>
      </c>
      <c r="B15" s="6" t="s">
        <v>172</v>
      </c>
      <c r="C15" s="6" t="s">
        <v>60</v>
      </c>
      <c r="D15" s="5" t="s">
        <v>59</v>
      </c>
      <c r="E15" s="4" t="s">
        <v>61</v>
      </c>
      <c r="F15" s="7">
        <v>96</v>
      </c>
      <c r="G15" s="8">
        <v>1.171446003660769E-2</v>
      </c>
      <c r="H15" s="9">
        <v>939466.70000000007</v>
      </c>
      <c r="I15" s="8">
        <v>6.7817141953804188E-3</v>
      </c>
      <c r="J15" s="11" t="s">
        <v>173</v>
      </c>
      <c r="K15" s="11" t="s">
        <v>174</v>
      </c>
      <c r="L15" s="4" t="s">
        <v>175</v>
      </c>
      <c r="M15" s="11" t="s">
        <v>176</v>
      </c>
    </row>
    <row r="16" spans="1:13" ht="20" customHeight="1">
      <c r="A16" s="12">
        <v>12</v>
      </c>
      <c r="B16" s="14" t="s">
        <v>177</v>
      </c>
      <c r="C16" s="14" t="s">
        <v>56</v>
      </c>
      <c r="D16" s="13" t="s">
        <v>55</v>
      </c>
      <c r="E16" s="12" t="s">
        <v>57</v>
      </c>
      <c r="F16" s="15">
        <v>79</v>
      </c>
      <c r="G16" s="16">
        <v>9.6400244051250764E-3</v>
      </c>
      <c r="H16" s="17">
        <v>2601170</v>
      </c>
      <c r="I16" s="16">
        <v>1.8777026917077191E-2</v>
      </c>
      <c r="J16" s="19" t="s">
        <v>178</v>
      </c>
      <c r="K16" s="19" t="s">
        <v>179</v>
      </c>
      <c r="L16" s="12" t="s">
        <v>180</v>
      </c>
      <c r="M16" s="19" t="s">
        <v>181</v>
      </c>
    </row>
    <row r="17" spans="1:13" ht="20" customHeight="1">
      <c r="A17" s="4">
        <v>13</v>
      </c>
      <c r="B17" s="6" t="s">
        <v>182</v>
      </c>
      <c r="C17" s="6" t="s">
        <v>75</v>
      </c>
      <c r="D17" s="5" t="s">
        <v>74</v>
      </c>
      <c r="E17" s="4" t="s">
        <v>76</v>
      </c>
      <c r="F17" s="7">
        <v>75</v>
      </c>
      <c r="G17" s="8">
        <v>9.1519219035997561E-3</v>
      </c>
      <c r="H17" s="9">
        <v>5933682.5</v>
      </c>
      <c r="I17" s="8">
        <v>4.2833384984406968E-2</v>
      </c>
      <c r="J17" s="11" t="s">
        <v>183</v>
      </c>
      <c r="K17" s="11" t="s">
        <v>184</v>
      </c>
      <c r="L17" s="4" t="s">
        <v>185</v>
      </c>
      <c r="M17" s="11" t="s">
        <v>78</v>
      </c>
    </row>
    <row r="18" spans="1:13" ht="20" customHeight="1">
      <c r="A18" s="12">
        <v>14</v>
      </c>
      <c r="B18" s="14" t="s">
        <v>186</v>
      </c>
      <c r="C18" s="14" t="s">
        <v>48</v>
      </c>
      <c r="D18" s="13" t="s">
        <v>47</v>
      </c>
      <c r="E18" s="12" t="s">
        <v>49</v>
      </c>
      <c r="F18" s="15">
        <v>57</v>
      </c>
      <c r="G18" s="16">
        <v>6.9554606467358143E-3</v>
      </c>
      <c r="H18" s="17">
        <v>231851.78</v>
      </c>
      <c r="I18" s="16">
        <v>1.6736649714675549E-3</v>
      </c>
      <c r="J18" s="19" t="s">
        <v>187</v>
      </c>
      <c r="K18" s="19" t="s">
        <v>188</v>
      </c>
      <c r="L18" s="12" t="s">
        <v>189</v>
      </c>
      <c r="M18" s="19" t="s">
        <v>190</v>
      </c>
    </row>
    <row r="19" spans="1:13" ht="20" customHeight="1">
      <c r="A19" s="4">
        <v>15</v>
      </c>
      <c r="B19" s="6" t="s">
        <v>191</v>
      </c>
      <c r="C19" s="6" t="s">
        <v>80</v>
      </c>
      <c r="D19" s="5" t="s">
        <v>79</v>
      </c>
      <c r="E19" s="4" t="s">
        <v>81</v>
      </c>
      <c r="F19" s="7">
        <v>54</v>
      </c>
      <c r="G19" s="8">
        <v>6.5893837705918246E-3</v>
      </c>
      <c r="H19" s="9">
        <v>788130</v>
      </c>
      <c r="I19" s="8">
        <v>5.6892622259045143E-3</v>
      </c>
      <c r="J19" s="11" t="s">
        <v>192</v>
      </c>
      <c r="K19" s="11" t="s">
        <v>193</v>
      </c>
      <c r="L19" s="4" t="s">
        <v>194</v>
      </c>
      <c r="M19" s="11" t="s">
        <v>195</v>
      </c>
    </row>
    <row r="20" spans="1:13" ht="20" customHeight="1">
      <c r="A20" s="12">
        <v>16</v>
      </c>
      <c r="B20" s="14" t="s">
        <v>196</v>
      </c>
      <c r="C20" s="14" t="s">
        <v>65</v>
      </c>
      <c r="D20" s="13" t="s">
        <v>64</v>
      </c>
      <c r="E20" s="12" t="s">
        <v>66</v>
      </c>
      <c r="F20" s="15">
        <v>36</v>
      </c>
      <c r="G20" s="16">
        <v>4.3929225137278828E-3</v>
      </c>
      <c r="H20" s="17">
        <v>617540.45000000007</v>
      </c>
      <c r="I20" s="16">
        <v>4.4578299965146303E-3</v>
      </c>
      <c r="J20" s="19" t="s">
        <v>197</v>
      </c>
      <c r="K20" s="19" t="s">
        <v>198</v>
      </c>
      <c r="L20" s="12" t="s">
        <v>199</v>
      </c>
      <c r="M20" s="19" t="s">
        <v>200</v>
      </c>
    </row>
    <row r="21" spans="1:13" ht="20" customHeight="1">
      <c r="A21" s="4">
        <v>17</v>
      </c>
      <c r="B21" s="6" t="s">
        <v>201</v>
      </c>
      <c r="C21" s="6" t="s">
        <v>38</v>
      </c>
      <c r="D21" s="5" t="s">
        <v>37</v>
      </c>
      <c r="E21" s="4" t="s">
        <v>39</v>
      </c>
      <c r="F21" s="7">
        <v>32</v>
      </c>
      <c r="G21" s="8">
        <v>3.904820012202563E-3</v>
      </c>
      <c r="H21" s="9">
        <v>1484198</v>
      </c>
      <c r="I21" s="8">
        <v>1.0713957871370239E-2</v>
      </c>
      <c r="J21" s="11" t="s">
        <v>202</v>
      </c>
      <c r="K21" s="11" t="s">
        <v>203</v>
      </c>
      <c r="L21" s="4" t="s">
        <v>204</v>
      </c>
      <c r="M21" s="11" t="s">
        <v>205</v>
      </c>
    </row>
    <row r="22" spans="1:13" ht="20" customHeight="1">
      <c r="A22" s="12">
        <v>18</v>
      </c>
      <c r="B22" s="14" t="s">
        <v>206</v>
      </c>
      <c r="C22" s="14" t="s">
        <v>38</v>
      </c>
      <c r="D22" s="13" t="s">
        <v>37</v>
      </c>
      <c r="E22" s="12" t="s">
        <v>39</v>
      </c>
      <c r="F22" s="15">
        <v>31</v>
      </c>
      <c r="G22" s="16">
        <v>3.7827943868212329E-3</v>
      </c>
      <c r="H22" s="17">
        <v>2199064.7000000002</v>
      </c>
      <c r="I22" s="16">
        <v>1.5874355410947491E-2</v>
      </c>
      <c r="J22" s="19" t="s">
        <v>207</v>
      </c>
      <c r="K22" s="19" t="s">
        <v>208</v>
      </c>
      <c r="L22" s="12" t="s">
        <v>160</v>
      </c>
      <c r="M22" s="19" t="s">
        <v>209</v>
      </c>
    </row>
    <row r="23" spans="1:13" ht="20" customHeight="1">
      <c r="A23" s="4">
        <v>19</v>
      </c>
      <c r="B23" s="6" t="s">
        <v>210</v>
      </c>
      <c r="C23" s="6" t="s">
        <v>90</v>
      </c>
      <c r="D23" s="5" t="s">
        <v>89</v>
      </c>
      <c r="E23" s="4" t="s">
        <v>91</v>
      </c>
      <c r="F23" s="7">
        <v>28</v>
      </c>
      <c r="G23" s="8">
        <v>3.4167175106772419E-3</v>
      </c>
      <c r="H23" s="9">
        <v>12575.6</v>
      </c>
      <c r="I23" s="8">
        <v>9.0779295354934865E-5</v>
      </c>
      <c r="J23" s="11" t="s">
        <v>211</v>
      </c>
      <c r="K23" s="11" t="s">
        <v>212</v>
      </c>
      <c r="L23" s="4" t="s">
        <v>213</v>
      </c>
      <c r="M23" s="11" t="s">
        <v>214</v>
      </c>
    </row>
    <row r="24" spans="1:13" ht="20" customHeight="1">
      <c r="A24" s="12">
        <v>20</v>
      </c>
      <c r="B24" s="14" t="s">
        <v>215</v>
      </c>
      <c r="C24" s="14" t="s">
        <v>38</v>
      </c>
      <c r="D24" s="13" t="s">
        <v>37</v>
      </c>
      <c r="E24" s="12" t="s">
        <v>39</v>
      </c>
      <c r="F24" s="15">
        <v>27</v>
      </c>
      <c r="G24" s="16">
        <v>3.2946918852959119E-3</v>
      </c>
      <c r="H24" s="17">
        <v>1179130</v>
      </c>
      <c r="I24" s="16">
        <v>8.5117680692662259E-3</v>
      </c>
      <c r="J24" s="19" t="s">
        <v>216</v>
      </c>
      <c r="K24" s="19" t="s">
        <v>217</v>
      </c>
      <c r="L24" s="12" t="s">
        <v>160</v>
      </c>
      <c r="M24" s="19" t="s">
        <v>218</v>
      </c>
    </row>
    <row r="25" spans="1:13" ht="20" customHeight="1">
      <c r="A25" s="4">
        <v>21</v>
      </c>
      <c r="B25" s="6" t="s">
        <v>219</v>
      </c>
      <c r="C25" s="6" t="s">
        <v>48</v>
      </c>
      <c r="D25" s="5" t="s">
        <v>47</v>
      </c>
      <c r="E25" s="4" t="s">
        <v>49</v>
      </c>
      <c r="F25" s="7">
        <v>27</v>
      </c>
      <c r="G25" s="8">
        <v>3.2946918852959119E-3</v>
      </c>
      <c r="H25" s="9">
        <v>95366</v>
      </c>
      <c r="I25" s="8">
        <v>6.8841711574944484E-4</v>
      </c>
      <c r="J25" s="11" t="s">
        <v>220</v>
      </c>
      <c r="K25" s="11" t="s">
        <v>221</v>
      </c>
      <c r="L25" s="4" t="s">
        <v>222</v>
      </c>
      <c r="M25" s="11" t="s">
        <v>50</v>
      </c>
    </row>
    <row r="26" spans="1:13" ht="20" customHeight="1">
      <c r="A26" s="12">
        <v>22</v>
      </c>
      <c r="B26" s="14" t="s">
        <v>223</v>
      </c>
      <c r="C26" s="14" t="s">
        <v>43</v>
      </c>
      <c r="D26" s="13" t="s">
        <v>42</v>
      </c>
      <c r="E26" s="12" t="s">
        <v>44</v>
      </c>
      <c r="F26" s="15">
        <v>26</v>
      </c>
      <c r="G26" s="16">
        <v>3.1726662599145818E-3</v>
      </c>
      <c r="H26" s="17">
        <v>148167</v>
      </c>
      <c r="I26" s="16">
        <v>1.069570903563618E-3</v>
      </c>
      <c r="J26" s="19" t="s">
        <v>224</v>
      </c>
      <c r="K26" s="19" t="s">
        <v>225</v>
      </c>
      <c r="L26" s="12" t="s">
        <v>226</v>
      </c>
      <c r="M26" s="19" t="s">
        <v>227</v>
      </c>
    </row>
    <row r="27" spans="1:13" ht="20" customHeight="1">
      <c r="A27" s="4">
        <v>23</v>
      </c>
      <c r="B27" s="6" t="s">
        <v>228</v>
      </c>
      <c r="C27" s="6" t="s">
        <v>56</v>
      </c>
      <c r="D27" s="5" t="s">
        <v>55</v>
      </c>
      <c r="E27" s="4" t="s">
        <v>57</v>
      </c>
      <c r="F27" s="7">
        <v>26</v>
      </c>
      <c r="G27" s="8">
        <v>3.1726662599145818E-3</v>
      </c>
      <c r="H27" s="9">
        <v>995800</v>
      </c>
      <c r="I27" s="8">
        <v>7.188366544295631E-3</v>
      </c>
      <c r="J27" s="11" t="s">
        <v>229</v>
      </c>
      <c r="K27" s="11" t="s">
        <v>230</v>
      </c>
      <c r="L27" s="4" t="s">
        <v>231</v>
      </c>
      <c r="M27" s="11" t="s">
        <v>232</v>
      </c>
    </row>
    <row r="28" spans="1:13" ht="20" customHeight="1">
      <c r="A28" s="12">
        <v>24</v>
      </c>
      <c r="B28" s="14" t="s">
        <v>233</v>
      </c>
      <c r="C28" s="14" t="s">
        <v>38</v>
      </c>
      <c r="D28" s="13" t="s">
        <v>37</v>
      </c>
      <c r="E28" s="12" t="s">
        <v>39</v>
      </c>
      <c r="F28" s="15">
        <v>25</v>
      </c>
      <c r="G28" s="16">
        <v>3.0506406345332522E-3</v>
      </c>
      <c r="H28" s="17">
        <v>1936320</v>
      </c>
      <c r="I28" s="16">
        <v>1.397768418060907E-2</v>
      </c>
      <c r="J28" s="19" t="s">
        <v>234</v>
      </c>
      <c r="K28" s="19" t="s">
        <v>235</v>
      </c>
      <c r="L28" s="12" t="s">
        <v>236</v>
      </c>
      <c r="M28" s="19" t="s">
        <v>237</v>
      </c>
    </row>
    <row r="29" spans="1:13" ht="20" customHeight="1">
      <c r="A29" s="4">
        <v>25</v>
      </c>
      <c r="B29" s="6" t="s">
        <v>238</v>
      </c>
      <c r="C29" s="6" t="s">
        <v>100</v>
      </c>
      <c r="D29" s="5" t="s">
        <v>99</v>
      </c>
      <c r="E29" s="4" t="s">
        <v>101</v>
      </c>
      <c r="F29" s="7">
        <v>23</v>
      </c>
      <c r="G29" s="8">
        <v>2.8065893837705921E-3</v>
      </c>
      <c r="H29" s="9">
        <v>476657.14</v>
      </c>
      <c r="I29" s="8">
        <v>3.4408377568544272E-3</v>
      </c>
      <c r="J29" s="11" t="s">
        <v>239</v>
      </c>
      <c r="K29" s="11" t="s">
        <v>240</v>
      </c>
      <c r="L29" s="4" t="s">
        <v>170</v>
      </c>
      <c r="M29" s="11" t="s">
        <v>103</v>
      </c>
    </row>
    <row r="30" spans="1:13" ht="20" customHeight="1">
      <c r="A30" s="12">
        <v>26</v>
      </c>
      <c r="B30" s="14" t="s">
        <v>241</v>
      </c>
      <c r="C30" s="14" t="s">
        <v>60</v>
      </c>
      <c r="D30" s="13" t="s">
        <v>59</v>
      </c>
      <c r="E30" s="12" t="s">
        <v>61</v>
      </c>
      <c r="F30" s="15">
        <v>22</v>
      </c>
      <c r="G30" s="16">
        <v>2.684563758389262E-3</v>
      </c>
      <c r="H30" s="17">
        <v>12920.9</v>
      </c>
      <c r="I30" s="16">
        <v>9.3271907292819252E-5</v>
      </c>
      <c r="J30" s="19" t="s">
        <v>242</v>
      </c>
      <c r="K30" s="19" t="s">
        <v>243</v>
      </c>
      <c r="L30" s="12" t="s">
        <v>244</v>
      </c>
      <c r="M30" s="19" t="s">
        <v>245</v>
      </c>
    </row>
    <row r="31" spans="1:13" ht="20" customHeight="1">
      <c r="A31" s="4">
        <v>27</v>
      </c>
      <c r="B31" s="6" t="s">
        <v>246</v>
      </c>
      <c r="C31" s="6" t="s">
        <v>65</v>
      </c>
      <c r="D31" s="5" t="s">
        <v>64</v>
      </c>
      <c r="E31" s="4" t="s">
        <v>66</v>
      </c>
      <c r="F31" s="7">
        <v>22</v>
      </c>
      <c r="G31" s="8">
        <v>2.684563758389262E-3</v>
      </c>
      <c r="H31" s="9">
        <v>128880.7</v>
      </c>
      <c r="I31" s="8">
        <v>9.303491786356717E-4</v>
      </c>
      <c r="J31" s="11" t="s">
        <v>247</v>
      </c>
      <c r="K31" s="11" t="s">
        <v>248</v>
      </c>
      <c r="L31" s="4" t="s">
        <v>249</v>
      </c>
      <c r="M31" s="11" t="s">
        <v>250</v>
      </c>
    </row>
    <row r="32" spans="1:13" ht="20" customHeight="1">
      <c r="A32" s="12">
        <v>28</v>
      </c>
      <c r="B32" s="14" t="s">
        <v>251</v>
      </c>
      <c r="C32" s="14" t="s">
        <v>48</v>
      </c>
      <c r="D32" s="13" t="s">
        <v>47</v>
      </c>
      <c r="E32" s="12" t="s">
        <v>49</v>
      </c>
      <c r="F32" s="15">
        <v>20</v>
      </c>
      <c r="G32" s="16">
        <v>2.4405125076266011E-3</v>
      </c>
      <c r="H32" s="17">
        <v>157730</v>
      </c>
      <c r="I32" s="16">
        <v>1.1386031884231269E-3</v>
      </c>
      <c r="J32" s="19" t="s">
        <v>252</v>
      </c>
      <c r="K32" s="19" t="s">
        <v>253</v>
      </c>
      <c r="L32" s="12" t="s">
        <v>254</v>
      </c>
      <c r="M32" s="19" t="s">
        <v>255</v>
      </c>
    </row>
    <row r="33" spans="1:13" ht="20" customHeight="1">
      <c r="A33" s="4">
        <v>29</v>
      </c>
      <c r="B33" s="6" t="s">
        <v>256</v>
      </c>
      <c r="C33" s="6" t="s">
        <v>90</v>
      </c>
      <c r="D33" s="5" t="s">
        <v>89</v>
      </c>
      <c r="E33" s="4" t="s">
        <v>91</v>
      </c>
      <c r="F33" s="7">
        <v>17</v>
      </c>
      <c r="G33" s="8">
        <v>2.0744356314826109E-3</v>
      </c>
      <c r="H33" s="9">
        <v>259179.98</v>
      </c>
      <c r="I33" s="8">
        <v>1.8709386394689801E-3</v>
      </c>
      <c r="J33" s="11" t="s">
        <v>257</v>
      </c>
      <c r="K33" s="11" t="s">
        <v>258</v>
      </c>
      <c r="L33" s="4" t="s">
        <v>259</v>
      </c>
      <c r="M33" s="11" t="s">
        <v>260</v>
      </c>
    </row>
    <row r="34" spans="1:13" ht="20" customHeight="1">
      <c r="A34" s="12">
        <v>30</v>
      </c>
      <c r="B34" s="14" t="s">
        <v>261</v>
      </c>
      <c r="C34" s="14" t="s">
        <v>85</v>
      </c>
      <c r="D34" s="13" t="s">
        <v>84</v>
      </c>
      <c r="E34" s="12" t="s">
        <v>86</v>
      </c>
      <c r="F34" s="15">
        <v>17</v>
      </c>
      <c r="G34" s="16">
        <v>2.0744356314826109E-3</v>
      </c>
      <c r="H34" s="17">
        <v>280290</v>
      </c>
      <c r="I34" s="16">
        <v>2.0233252246441278E-3</v>
      </c>
      <c r="J34" s="19" t="s">
        <v>257</v>
      </c>
      <c r="K34" s="19" t="s">
        <v>262</v>
      </c>
      <c r="L34" s="12" t="s">
        <v>263</v>
      </c>
      <c r="M34" s="19" t="s">
        <v>264</v>
      </c>
    </row>
    <row r="35" spans="1:13" ht="20" customHeight="1">
      <c r="A35" s="4">
        <v>31</v>
      </c>
      <c r="B35" s="6" t="s">
        <v>265</v>
      </c>
      <c r="C35" s="6" t="s">
        <v>33</v>
      </c>
      <c r="D35" s="5" t="s">
        <v>32</v>
      </c>
      <c r="E35" s="4" t="s">
        <v>34</v>
      </c>
      <c r="F35" s="7">
        <v>17</v>
      </c>
      <c r="G35" s="8">
        <v>2.0744356314826109E-3</v>
      </c>
      <c r="H35" s="9">
        <v>372753.14</v>
      </c>
      <c r="I35" s="8">
        <v>2.6907875083923942E-3</v>
      </c>
      <c r="J35" s="11" t="s">
        <v>266</v>
      </c>
      <c r="K35" s="11" t="s">
        <v>267</v>
      </c>
      <c r="L35" s="4" t="s">
        <v>268</v>
      </c>
      <c r="M35" s="11" t="s">
        <v>269</v>
      </c>
    </row>
    <row r="36" spans="1:13" ht="20" customHeight="1">
      <c r="A36" s="12">
        <v>32</v>
      </c>
      <c r="B36" s="14" t="s">
        <v>270</v>
      </c>
      <c r="C36" s="14" t="s">
        <v>85</v>
      </c>
      <c r="D36" s="13" t="s">
        <v>84</v>
      </c>
      <c r="E36" s="12" t="s">
        <v>86</v>
      </c>
      <c r="F36" s="15">
        <v>14</v>
      </c>
      <c r="G36" s="16">
        <v>1.708358755338621E-3</v>
      </c>
      <c r="H36" s="17">
        <v>68370</v>
      </c>
      <c r="I36" s="16">
        <v>4.9354149491212323E-4</v>
      </c>
      <c r="J36" s="19" t="s">
        <v>271</v>
      </c>
      <c r="K36" s="19" t="s">
        <v>272</v>
      </c>
      <c r="L36" s="12" t="s">
        <v>273</v>
      </c>
      <c r="M36" s="19" t="s">
        <v>274</v>
      </c>
    </row>
    <row r="37" spans="1:13" ht="20" customHeight="1">
      <c r="A37" s="4">
        <v>33</v>
      </c>
      <c r="B37" s="6" t="s">
        <v>275</v>
      </c>
      <c r="C37" s="6" t="s">
        <v>33</v>
      </c>
      <c r="D37" s="5" t="s">
        <v>32</v>
      </c>
      <c r="E37" s="4" t="s">
        <v>34</v>
      </c>
      <c r="F37" s="7">
        <v>11</v>
      </c>
      <c r="G37" s="8">
        <v>1.342281879194631E-3</v>
      </c>
      <c r="H37" s="9">
        <v>129586.8</v>
      </c>
      <c r="I37" s="8">
        <v>9.3544629212927199E-4</v>
      </c>
      <c r="J37" s="11" t="s">
        <v>276</v>
      </c>
      <c r="K37" s="11" t="s">
        <v>277</v>
      </c>
      <c r="L37" s="4" t="s">
        <v>268</v>
      </c>
      <c r="M37" s="11" t="s">
        <v>278</v>
      </c>
    </row>
    <row r="38" spans="1:13" ht="20" customHeight="1">
      <c r="A38" s="12">
        <v>34</v>
      </c>
      <c r="B38" s="14" t="s">
        <v>279</v>
      </c>
      <c r="C38" s="14" t="s">
        <v>48</v>
      </c>
      <c r="D38" s="13" t="s">
        <v>47</v>
      </c>
      <c r="E38" s="12" t="s">
        <v>49</v>
      </c>
      <c r="F38" s="15">
        <v>11</v>
      </c>
      <c r="G38" s="16">
        <v>1.342281879194631E-3</v>
      </c>
      <c r="H38" s="17">
        <v>19949</v>
      </c>
      <c r="I38" s="16">
        <v>1.4400554749161831E-4</v>
      </c>
      <c r="J38" s="19" t="s">
        <v>280</v>
      </c>
      <c r="K38" s="19" t="s">
        <v>281</v>
      </c>
      <c r="L38" s="12" t="s">
        <v>282</v>
      </c>
      <c r="M38" s="19" t="s">
        <v>283</v>
      </c>
    </row>
    <row r="39" spans="1:13" ht="20" customHeight="1">
      <c r="A39" s="4">
        <v>35</v>
      </c>
      <c r="B39" s="6" t="s">
        <v>284</v>
      </c>
      <c r="C39" s="6" t="s">
        <v>65</v>
      </c>
      <c r="D39" s="5" t="s">
        <v>64</v>
      </c>
      <c r="E39" s="4" t="s">
        <v>66</v>
      </c>
      <c r="F39" s="7">
        <v>10</v>
      </c>
      <c r="G39" s="8">
        <v>1.220256253813301E-3</v>
      </c>
      <c r="H39" s="9">
        <v>23976.29</v>
      </c>
      <c r="I39" s="8">
        <v>1.7307728549139379E-4</v>
      </c>
      <c r="J39" s="11" t="s">
        <v>285</v>
      </c>
      <c r="K39" s="11" t="s">
        <v>286</v>
      </c>
      <c r="L39" s="4" t="s">
        <v>287</v>
      </c>
      <c r="M39" s="11" t="s">
        <v>288</v>
      </c>
    </row>
    <row r="40" spans="1:13" ht="20" customHeight="1">
      <c r="A40" s="12">
        <v>36</v>
      </c>
      <c r="B40" s="14" t="s">
        <v>289</v>
      </c>
      <c r="C40" s="14" t="s">
        <v>33</v>
      </c>
      <c r="D40" s="13" t="s">
        <v>32</v>
      </c>
      <c r="E40" s="12" t="s">
        <v>34</v>
      </c>
      <c r="F40" s="15">
        <v>10</v>
      </c>
      <c r="G40" s="16">
        <v>1.220256253813301E-3</v>
      </c>
      <c r="H40" s="17">
        <v>208046.41</v>
      </c>
      <c r="I40" s="16">
        <v>1.5018215036200161E-3</v>
      </c>
      <c r="J40" s="19" t="s">
        <v>290</v>
      </c>
      <c r="K40" s="19" t="s">
        <v>291</v>
      </c>
      <c r="L40" s="12" t="s">
        <v>268</v>
      </c>
      <c r="M40" s="19" t="s">
        <v>292</v>
      </c>
    </row>
    <row r="41" spans="1:13" ht="20" customHeight="1">
      <c r="A41" s="4">
        <v>37</v>
      </c>
      <c r="B41" s="6" t="s">
        <v>293</v>
      </c>
      <c r="C41" s="6" t="s">
        <v>24</v>
      </c>
      <c r="D41" s="5" t="s">
        <v>23</v>
      </c>
      <c r="E41" s="4" t="s">
        <v>25</v>
      </c>
      <c r="F41" s="7">
        <v>10</v>
      </c>
      <c r="G41" s="8">
        <v>1.220256253813301E-3</v>
      </c>
      <c r="H41" s="9">
        <v>60000</v>
      </c>
      <c r="I41" s="8">
        <v>4.3312110128312698E-4</v>
      </c>
      <c r="J41" s="11" t="s">
        <v>294</v>
      </c>
      <c r="K41" s="11" t="s">
        <v>295</v>
      </c>
      <c r="L41" s="4" t="s">
        <v>296</v>
      </c>
      <c r="M41" s="11" t="s">
        <v>297</v>
      </c>
    </row>
    <row r="42" spans="1:13" ht="20" customHeight="1">
      <c r="A42" s="12">
        <v>38</v>
      </c>
      <c r="B42" s="14" t="s">
        <v>298</v>
      </c>
      <c r="C42" s="14" t="s">
        <v>33</v>
      </c>
      <c r="D42" s="13" t="s">
        <v>32</v>
      </c>
      <c r="E42" s="12" t="s">
        <v>34</v>
      </c>
      <c r="F42" s="15">
        <v>9</v>
      </c>
      <c r="G42" s="16">
        <v>1.0982306284319709E-3</v>
      </c>
      <c r="H42" s="17">
        <v>41849</v>
      </c>
      <c r="I42" s="16">
        <v>3.0209474945995968E-4</v>
      </c>
      <c r="J42" s="19" t="s">
        <v>299</v>
      </c>
      <c r="K42" s="19" t="s">
        <v>300</v>
      </c>
      <c r="L42" s="12" t="s">
        <v>268</v>
      </c>
      <c r="M42" s="19" t="s">
        <v>301</v>
      </c>
    </row>
    <row r="43" spans="1:13" ht="20" customHeight="1">
      <c r="A43" s="4">
        <v>39</v>
      </c>
      <c r="B43" s="6" t="s">
        <v>302</v>
      </c>
      <c r="C43" s="6" t="s">
        <v>33</v>
      </c>
      <c r="D43" s="5" t="s">
        <v>32</v>
      </c>
      <c r="E43" s="4" t="s">
        <v>34</v>
      </c>
      <c r="F43" s="7">
        <v>8</v>
      </c>
      <c r="G43" s="8">
        <v>9.7620500305064064E-4</v>
      </c>
      <c r="H43" s="9">
        <v>42118.7</v>
      </c>
      <c r="I43" s="8">
        <v>3.0404162881022732E-4</v>
      </c>
      <c r="J43" s="11" t="s">
        <v>303</v>
      </c>
      <c r="K43" s="11" t="s">
        <v>304</v>
      </c>
      <c r="L43" s="4" t="s">
        <v>268</v>
      </c>
      <c r="M43" s="11" t="s">
        <v>305</v>
      </c>
    </row>
    <row r="44" spans="1:13" ht="20" customHeight="1">
      <c r="A44" s="12">
        <v>40</v>
      </c>
      <c r="B44" s="14" t="s">
        <v>306</v>
      </c>
      <c r="C44" s="14" t="s">
        <v>33</v>
      </c>
      <c r="D44" s="13" t="s">
        <v>32</v>
      </c>
      <c r="E44" s="12" t="s">
        <v>34</v>
      </c>
      <c r="F44" s="15">
        <v>8</v>
      </c>
      <c r="G44" s="16">
        <v>9.7620500305064064E-4</v>
      </c>
      <c r="H44" s="17">
        <v>47627</v>
      </c>
      <c r="I44" s="16">
        <v>3.4380431151352479E-4</v>
      </c>
      <c r="J44" s="19" t="s">
        <v>307</v>
      </c>
      <c r="K44" s="19" t="s">
        <v>308</v>
      </c>
      <c r="L44" s="12" t="s">
        <v>268</v>
      </c>
      <c r="M44" s="19" t="s">
        <v>309</v>
      </c>
    </row>
    <row r="45" spans="1:13" ht="20" customHeight="1">
      <c r="A45" s="4">
        <v>41</v>
      </c>
      <c r="B45" s="6" t="s">
        <v>310</v>
      </c>
      <c r="C45" s="6" t="s">
        <v>65</v>
      </c>
      <c r="D45" s="5" t="s">
        <v>64</v>
      </c>
      <c r="E45" s="4" t="s">
        <v>66</v>
      </c>
      <c r="F45" s="7">
        <v>8</v>
      </c>
      <c r="G45" s="8">
        <v>9.7620500305064064E-4</v>
      </c>
      <c r="H45" s="9">
        <v>28187</v>
      </c>
      <c r="I45" s="8">
        <v>2.034730746977917E-4</v>
      </c>
      <c r="J45" s="11" t="s">
        <v>311</v>
      </c>
      <c r="K45" s="11" t="s">
        <v>312</v>
      </c>
      <c r="L45" s="4" t="s">
        <v>313</v>
      </c>
      <c r="M45" s="11" t="s">
        <v>314</v>
      </c>
    </row>
    <row r="46" spans="1:13" ht="20" customHeight="1">
      <c r="A46" s="12">
        <v>42</v>
      </c>
      <c r="B46" s="14" t="s">
        <v>315</v>
      </c>
      <c r="C46" s="14" t="s">
        <v>56</v>
      </c>
      <c r="D46" s="13" t="s">
        <v>55</v>
      </c>
      <c r="E46" s="12" t="s">
        <v>57</v>
      </c>
      <c r="F46" s="15">
        <v>7</v>
      </c>
      <c r="G46" s="16">
        <v>8.5417937766931059E-4</v>
      </c>
      <c r="H46" s="17">
        <v>242850</v>
      </c>
      <c r="I46" s="16">
        <v>1.7530576574434559E-3</v>
      </c>
      <c r="J46" s="19" t="s">
        <v>316</v>
      </c>
      <c r="K46" s="19" t="s">
        <v>317</v>
      </c>
      <c r="L46" s="12" t="s">
        <v>318</v>
      </c>
      <c r="M46" s="19" t="s">
        <v>319</v>
      </c>
    </row>
    <row r="47" spans="1:13" ht="20" customHeight="1">
      <c r="A47" s="4">
        <v>43</v>
      </c>
      <c r="B47" s="6" t="s">
        <v>320</v>
      </c>
      <c r="C47" s="6" t="s">
        <v>85</v>
      </c>
      <c r="D47" s="5" t="s">
        <v>84</v>
      </c>
      <c r="E47" s="4" t="s">
        <v>86</v>
      </c>
      <c r="F47" s="7">
        <v>7</v>
      </c>
      <c r="G47" s="8">
        <v>8.5417937766931059E-4</v>
      </c>
      <c r="H47" s="9">
        <v>32840</v>
      </c>
      <c r="I47" s="8">
        <v>2.3706161610229819E-4</v>
      </c>
      <c r="J47" s="11" t="s">
        <v>321</v>
      </c>
      <c r="K47" s="11" t="s">
        <v>322</v>
      </c>
      <c r="L47" s="4" t="s">
        <v>323</v>
      </c>
      <c r="M47" s="11" t="s">
        <v>324</v>
      </c>
    </row>
    <row r="48" spans="1:13" ht="20" customHeight="1">
      <c r="A48" s="12">
        <v>44</v>
      </c>
      <c r="B48" s="14" t="s">
        <v>325</v>
      </c>
      <c r="C48" s="14" t="s">
        <v>38</v>
      </c>
      <c r="D48" s="13" t="s">
        <v>37</v>
      </c>
      <c r="E48" s="12" t="s">
        <v>39</v>
      </c>
      <c r="F48" s="15">
        <v>7</v>
      </c>
      <c r="G48" s="16">
        <v>8.5417937766931059E-4</v>
      </c>
      <c r="H48" s="17">
        <v>381000</v>
      </c>
      <c r="I48" s="16">
        <v>2.7503189931478559E-3</v>
      </c>
      <c r="J48" s="19" t="s">
        <v>326</v>
      </c>
      <c r="K48" s="19" t="s">
        <v>327</v>
      </c>
      <c r="L48" s="12" t="s">
        <v>160</v>
      </c>
      <c r="M48" s="19" t="s">
        <v>328</v>
      </c>
    </row>
    <row r="49" spans="1:13" ht="20" customHeight="1">
      <c r="A49" s="4">
        <v>45</v>
      </c>
      <c r="B49" s="6" t="s">
        <v>329</v>
      </c>
      <c r="C49" s="6" t="s">
        <v>24</v>
      </c>
      <c r="D49" s="5" t="s">
        <v>23</v>
      </c>
      <c r="E49" s="4" t="s">
        <v>25</v>
      </c>
      <c r="F49" s="7">
        <v>7</v>
      </c>
      <c r="G49" s="8">
        <v>8.5417937766931059E-4</v>
      </c>
      <c r="H49" s="9">
        <v>46600</v>
      </c>
      <c r="I49" s="8">
        <v>3.3639072199656198E-4</v>
      </c>
      <c r="J49" s="11" t="s">
        <v>330</v>
      </c>
      <c r="K49" s="11" t="s">
        <v>331</v>
      </c>
      <c r="L49" s="4" t="s">
        <v>332</v>
      </c>
      <c r="M49" s="11" t="s">
        <v>333</v>
      </c>
    </row>
    <row r="50" spans="1:13" ht="20" customHeight="1">
      <c r="A50" s="12">
        <v>46</v>
      </c>
      <c r="B50" s="14" t="s">
        <v>334</v>
      </c>
      <c r="C50" s="14" t="s">
        <v>65</v>
      </c>
      <c r="D50" s="13" t="s">
        <v>64</v>
      </c>
      <c r="E50" s="12" t="s">
        <v>66</v>
      </c>
      <c r="F50" s="15">
        <v>6</v>
      </c>
      <c r="G50" s="16">
        <v>7.3215375228798043E-4</v>
      </c>
      <c r="H50" s="17">
        <v>25920</v>
      </c>
      <c r="I50" s="16">
        <v>1.8710831575431089E-4</v>
      </c>
      <c r="J50" s="19" t="s">
        <v>335</v>
      </c>
      <c r="K50" s="19" t="s">
        <v>336</v>
      </c>
      <c r="L50" s="12" t="s">
        <v>337</v>
      </c>
      <c r="M50" s="19" t="s">
        <v>338</v>
      </c>
    </row>
    <row r="51" spans="1:13" ht="20" customHeight="1">
      <c r="A51" s="4">
        <v>47</v>
      </c>
      <c r="B51" s="6" t="s">
        <v>339</v>
      </c>
      <c r="C51" s="6" t="s">
        <v>33</v>
      </c>
      <c r="D51" s="5" t="s">
        <v>32</v>
      </c>
      <c r="E51" s="4" t="s">
        <v>34</v>
      </c>
      <c r="F51" s="7">
        <v>6</v>
      </c>
      <c r="G51" s="8">
        <v>7.3215375228798043E-4</v>
      </c>
      <c r="H51" s="9">
        <v>180420</v>
      </c>
      <c r="I51" s="8">
        <v>1.3023951515583629E-3</v>
      </c>
      <c r="J51" s="11" t="s">
        <v>335</v>
      </c>
      <c r="K51" s="11" t="s">
        <v>340</v>
      </c>
      <c r="L51" s="4" t="s">
        <v>268</v>
      </c>
      <c r="M51" s="11" t="s">
        <v>341</v>
      </c>
    </row>
    <row r="52" spans="1:13" ht="20" customHeight="1">
      <c r="A52" s="12">
        <v>48</v>
      </c>
      <c r="B52" s="14" t="s">
        <v>342</v>
      </c>
      <c r="C52" s="14" t="s">
        <v>52</v>
      </c>
      <c r="D52" s="13" t="s">
        <v>51</v>
      </c>
      <c r="E52" s="12" t="s">
        <v>53</v>
      </c>
      <c r="F52" s="15">
        <v>6</v>
      </c>
      <c r="G52" s="16">
        <v>7.3215375228798043E-4</v>
      </c>
      <c r="H52" s="17">
        <v>2550000</v>
      </c>
      <c r="I52" s="16">
        <v>1.8407646804532898E-2</v>
      </c>
      <c r="J52" s="19" t="s">
        <v>343</v>
      </c>
      <c r="K52" s="19" t="s">
        <v>344</v>
      </c>
      <c r="L52" s="12" t="s">
        <v>345</v>
      </c>
      <c r="M52" s="19" t="s">
        <v>346</v>
      </c>
    </row>
    <row r="53" spans="1:13" ht="20" customHeight="1">
      <c r="A53" s="4">
        <v>49</v>
      </c>
      <c r="B53" s="6" t="s">
        <v>347</v>
      </c>
      <c r="C53" s="6" t="s">
        <v>33</v>
      </c>
      <c r="D53" s="5" t="s">
        <v>32</v>
      </c>
      <c r="E53" s="4" t="s">
        <v>34</v>
      </c>
      <c r="F53" s="7">
        <v>6</v>
      </c>
      <c r="G53" s="8">
        <v>7.3215375228798043E-4</v>
      </c>
      <c r="H53" s="9">
        <v>74920</v>
      </c>
      <c r="I53" s="8">
        <v>5.4082388180219784E-4</v>
      </c>
      <c r="J53" s="11" t="s">
        <v>348</v>
      </c>
      <c r="K53" s="11" t="s">
        <v>349</v>
      </c>
      <c r="L53" s="4" t="s">
        <v>268</v>
      </c>
      <c r="M53" s="11" t="s">
        <v>350</v>
      </c>
    </row>
    <row r="54" spans="1:13" ht="20" customHeight="1">
      <c r="A54" s="12">
        <v>50</v>
      </c>
      <c r="B54" s="14" t="s">
        <v>351</v>
      </c>
      <c r="C54" s="14" t="s">
        <v>65</v>
      </c>
      <c r="D54" s="13" t="s">
        <v>64</v>
      </c>
      <c r="E54" s="12" t="s">
        <v>66</v>
      </c>
      <c r="F54" s="15">
        <v>6</v>
      </c>
      <c r="G54" s="16">
        <v>7.3215375228798043E-4</v>
      </c>
      <c r="H54" s="17">
        <v>265000</v>
      </c>
      <c r="I54" s="16">
        <v>1.9129515306671441E-3</v>
      </c>
      <c r="J54" s="19" t="s">
        <v>352</v>
      </c>
      <c r="K54" s="19" t="s">
        <v>353</v>
      </c>
      <c r="L54" s="12" t="s">
        <v>354</v>
      </c>
      <c r="M54" s="19" t="s">
        <v>355</v>
      </c>
    </row>
    <row r="55" spans="1:13" ht="20" customHeight="1">
      <c r="A55" s="4">
        <v>51</v>
      </c>
      <c r="B55" s="6" t="s">
        <v>356</v>
      </c>
      <c r="C55" s="6" t="s">
        <v>60</v>
      </c>
      <c r="D55" s="5" t="s">
        <v>59</v>
      </c>
      <c r="E55" s="4" t="s">
        <v>61</v>
      </c>
      <c r="F55" s="7">
        <v>5</v>
      </c>
      <c r="G55" s="8">
        <v>6.1012812690665037E-4</v>
      </c>
      <c r="H55" s="9">
        <v>16207.8</v>
      </c>
      <c r="I55" s="8">
        <v>1.169990030896111E-4</v>
      </c>
      <c r="J55" s="11" t="s">
        <v>357</v>
      </c>
      <c r="K55" s="11" t="s">
        <v>358</v>
      </c>
      <c r="L55" s="4" t="s">
        <v>359</v>
      </c>
      <c r="M55" s="11" t="s">
        <v>360</v>
      </c>
    </row>
    <row r="56" spans="1:13" ht="20" customHeight="1">
      <c r="A56" s="12">
        <v>52</v>
      </c>
      <c r="B56" s="14" t="s">
        <v>361</v>
      </c>
      <c r="C56" s="14" t="s">
        <v>56</v>
      </c>
      <c r="D56" s="13" t="s">
        <v>55</v>
      </c>
      <c r="E56" s="12" t="s">
        <v>57</v>
      </c>
      <c r="F56" s="15">
        <v>5</v>
      </c>
      <c r="G56" s="16">
        <v>6.1012812690665037E-4</v>
      </c>
      <c r="H56" s="17">
        <v>36000</v>
      </c>
      <c r="I56" s="16">
        <v>2.5987266076987617E-4</v>
      </c>
      <c r="J56" s="19" t="s">
        <v>362</v>
      </c>
      <c r="K56" s="19" t="s">
        <v>363</v>
      </c>
      <c r="L56" s="12" t="s">
        <v>364</v>
      </c>
      <c r="M56" s="19" t="s">
        <v>365</v>
      </c>
    </row>
    <row r="57" spans="1:13" ht="20" customHeight="1">
      <c r="A57" s="4">
        <v>53</v>
      </c>
      <c r="B57" s="6" t="s">
        <v>366</v>
      </c>
      <c r="C57" s="6" t="s">
        <v>56</v>
      </c>
      <c r="D57" s="5" t="s">
        <v>55</v>
      </c>
      <c r="E57" s="4" t="s">
        <v>57</v>
      </c>
      <c r="F57" s="7">
        <v>5</v>
      </c>
      <c r="G57" s="8">
        <v>6.1012812690665037E-4</v>
      </c>
      <c r="H57" s="9">
        <v>46100</v>
      </c>
      <c r="I57" s="8">
        <v>3.3278137948586931E-4</v>
      </c>
      <c r="J57" s="11" t="s">
        <v>367</v>
      </c>
      <c r="K57" s="11" t="s">
        <v>368</v>
      </c>
      <c r="L57" s="4" t="s">
        <v>369</v>
      </c>
      <c r="M57" s="11" t="s">
        <v>370</v>
      </c>
    </row>
    <row r="58" spans="1:13" ht="20" customHeight="1">
      <c r="A58" s="12">
        <v>54</v>
      </c>
      <c r="B58" s="14" t="s">
        <v>371</v>
      </c>
      <c r="C58" s="14" t="s">
        <v>80</v>
      </c>
      <c r="D58" s="13" t="s">
        <v>79</v>
      </c>
      <c r="E58" s="12" t="s">
        <v>81</v>
      </c>
      <c r="F58" s="15">
        <v>5</v>
      </c>
      <c r="G58" s="16">
        <v>6.1012812690665037E-4</v>
      </c>
      <c r="H58" s="17">
        <v>182000</v>
      </c>
      <c r="I58" s="16">
        <v>1.3138006738921521E-3</v>
      </c>
      <c r="J58" s="19" t="s">
        <v>372</v>
      </c>
      <c r="K58" s="19" t="s">
        <v>373</v>
      </c>
      <c r="L58" s="12" t="s">
        <v>374</v>
      </c>
      <c r="M58" s="19" t="s">
        <v>83</v>
      </c>
    </row>
    <row r="59" spans="1:13" ht="20" customHeight="1">
      <c r="A59" s="4">
        <v>55</v>
      </c>
      <c r="B59" s="6" t="s">
        <v>375</v>
      </c>
      <c r="C59" s="6" t="s">
        <v>52</v>
      </c>
      <c r="D59" s="5" t="s">
        <v>51</v>
      </c>
      <c r="E59" s="4" t="s">
        <v>53</v>
      </c>
      <c r="F59" s="7">
        <v>5</v>
      </c>
      <c r="G59" s="8">
        <v>6.1012812690665037E-4</v>
      </c>
      <c r="H59" s="9">
        <v>353040</v>
      </c>
      <c r="I59" s="8">
        <v>2.5484845599499191E-3</v>
      </c>
      <c r="J59" s="11" t="s">
        <v>376</v>
      </c>
      <c r="K59" s="11" t="s">
        <v>377</v>
      </c>
      <c r="L59" s="4" t="s">
        <v>378</v>
      </c>
      <c r="M59" s="11" t="s">
        <v>379</v>
      </c>
    </row>
    <row r="60" spans="1:13" ht="20" customHeight="1">
      <c r="A60" s="12">
        <v>56</v>
      </c>
      <c r="B60" s="14" t="s">
        <v>380</v>
      </c>
      <c r="C60" s="14" t="s">
        <v>65</v>
      </c>
      <c r="D60" s="13" t="s">
        <v>64</v>
      </c>
      <c r="E60" s="12" t="s">
        <v>66</v>
      </c>
      <c r="F60" s="15">
        <v>5</v>
      </c>
      <c r="G60" s="16">
        <v>6.1012812690665037E-4</v>
      </c>
      <c r="H60" s="17">
        <v>140658</v>
      </c>
      <c r="I60" s="16">
        <v>1.015365797738035E-3</v>
      </c>
      <c r="J60" s="19" t="s">
        <v>357</v>
      </c>
      <c r="K60" s="19" t="s">
        <v>381</v>
      </c>
      <c r="L60" s="12" t="s">
        <v>382</v>
      </c>
      <c r="M60" s="19" t="s">
        <v>383</v>
      </c>
    </row>
    <row r="61" spans="1:13" ht="20" customHeight="1">
      <c r="A61" s="4">
        <v>57</v>
      </c>
      <c r="B61" s="6" t="s">
        <v>384</v>
      </c>
      <c r="C61" s="6" t="s">
        <v>95</v>
      </c>
      <c r="D61" s="5" t="s">
        <v>94</v>
      </c>
      <c r="E61" s="4" t="s">
        <v>96</v>
      </c>
      <c r="F61" s="7">
        <v>4</v>
      </c>
      <c r="G61" s="8">
        <v>4.8810250152532032E-4</v>
      </c>
      <c r="H61" s="9">
        <v>8000</v>
      </c>
      <c r="I61" s="8">
        <v>5.7749480171083598E-5</v>
      </c>
      <c r="J61" s="11" t="s">
        <v>385</v>
      </c>
      <c r="K61" s="11" t="s">
        <v>386</v>
      </c>
      <c r="L61" s="4" t="s">
        <v>387</v>
      </c>
      <c r="M61" s="11" t="s">
        <v>98</v>
      </c>
    </row>
    <row r="62" spans="1:13" ht="20" customHeight="1">
      <c r="A62" s="12">
        <v>58</v>
      </c>
      <c r="B62" s="14" t="s">
        <v>388</v>
      </c>
      <c r="C62" s="14" t="s">
        <v>95</v>
      </c>
      <c r="D62" s="13" t="s">
        <v>94</v>
      </c>
      <c r="E62" s="12" t="s">
        <v>96</v>
      </c>
      <c r="F62" s="15">
        <v>4</v>
      </c>
      <c r="G62" s="16">
        <v>4.8810250152532032E-4</v>
      </c>
      <c r="H62" s="17">
        <v>3260</v>
      </c>
      <c r="I62" s="16">
        <v>2.3532913169716561E-5</v>
      </c>
      <c r="J62" s="19" t="s">
        <v>389</v>
      </c>
      <c r="K62" s="19" t="s">
        <v>390</v>
      </c>
      <c r="L62" s="12" t="s">
        <v>391</v>
      </c>
      <c r="M62" s="19" t="s">
        <v>392</v>
      </c>
    </row>
    <row r="63" spans="1:13" ht="20" customHeight="1">
      <c r="A63" s="4">
        <v>59</v>
      </c>
      <c r="B63" s="6" t="s">
        <v>393</v>
      </c>
      <c r="C63" s="6" t="s">
        <v>56</v>
      </c>
      <c r="D63" s="5" t="s">
        <v>55</v>
      </c>
      <c r="E63" s="4" t="s">
        <v>57</v>
      </c>
      <c r="F63" s="7">
        <v>4</v>
      </c>
      <c r="G63" s="8">
        <v>4.8810250152532032E-4</v>
      </c>
      <c r="H63" s="9">
        <v>42600</v>
      </c>
      <c r="I63" s="8">
        <v>3.0751598191102022E-4</v>
      </c>
      <c r="J63" s="11" t="s">
        <v>394</v>
      </c>
      <c r="K63" s="11" t="s">
        <v>395</v>
      </c>
      <c r="L63" s="4" t="s">
        <v>396</v>
      </c>
      <c r="M63" s="11" t="s">
        <v>397</v>
      </c>
    </row>
    <row r="64" spans="1:13" ht="20" customHeight="1">
      <c r="A64" s="12">
        <v>60</v>
      </c>
      <c r="B64" s="14" t="s">
        <v>398</v>
      </c>
      <c r="C64" s="14" t="s">
        <v>95</v>
      </c>
      <c r="D64" s="13" t="s">
        <v>94</v>
      </c>
      <c r="E64" s="12" t="s">
        <v>96</v>
      </c>
      <c r="F64" s="15">
        <v>4</v>
      </c>
      <c r="G64" s="16">
        <v>4.8810250152532032E-4</v>
      </c>
      <c r="H64" s="17">
        <v>6640</v>
      </c>
      <c r="I64" s="16">
        <v>4.7932068541999389E-5</v>
      </c>
      <c r="J64" s="19" t="s">
        <v>399</v>
      </c>
      <c r="K64" s="19" t="s">
        <v>400</v>
      </c>
      <c r="L64" s="12" t="s">
        <v>401</v>
      </c>
      <c r="M64" s="19" t="s">
        <v>402</v>
      </c>
    </row>
    <row r="65" spans="1:13" ht="20" customHeight="1">
      <c r="A65" s="4">
        <v>61</v>
      </c>
      <c r="B65" s="6" t="s">
        <v>403</v>
      </c>
      <c r="C65" s="6" t="s">
        <v>95</v>
      </c>
      <c r="D65" s="5" t="s">
        <v>94</v>
      </c>
      <c r="E65" s="4" t="s">
        <v>96</v>
      </c>
      <c r="F65" s="7">
        <v>4</v>
      </c>
      <c r="G65" s="8">
        <v>4.8810250152532032E-4</v>
      </c>
      <c r="H65" s="9">
        <v>20672.73</v>
      </c>
      <c r="I65" s="8">
        <v>1.4922992640214561E-4</v>
      </c>
      <c r="J65" s="11" t="s">
        <v>404</v>
      </c>
      <c r="K65" s="11" t="s">
        <v>405</v>
      </c>
      <c r="L65" s="4" t="s">
        <v>406</v>
      </c>
      <c r="M65" s="11" t="s">
        <v>407</v>
      </c>
    </row>
    <row r="66" spans="1:13" ht="20" customHeight="1">
      <c r="A66" s="12">
        <v>62</v>
      </c>
      <c r="B66" s="14" t="s">
        <v>408</v>
      </c>
      <c r="C66" s="14" t="s">
        <v>95</v>
      </c>
      <c r="D66" s="13" t="s">
        <v>94</v>
      </c>
      <c r="E66" s="12" t="s">
        <v>96</v>
      </c>
      <c r="F66" s="15">
        <v>4</v>
      </c>
      <c r="G66" s="16">
        <v>4.8810250152532032E-4</v>
      </c>
      <c r="H66" s="17">
        <v>10000</v>
      </c>
      <c r="I66" s="16">
        <v>7.2186850213854496E-5</v>
      </c>
      <c r="J66" s="19" t="s">
        <v>409</v>
      </c>
      <c r="K66" s="19" t="s">
        <v>410</v>
      </c>
      <c r="L66" s="12" t="s">
        <v>411</v>
      </c>
      <c r="M66" s="19" t="s">
        <v>412</v>
      </c>
    </row>
    <row r="67" spans="1:13" ht="20" customHeight="1">
      <c r="A67" s="4">
        <v>63</v>
      </c>
      <c r="B67" s="6" t="s">
        <v>413</v>
      </c>
      <c r="C67" s="6" t="s">
        <v>60</v>
      </c>
      <c r="D67" s="5" t="s">
        <v>59</v>
      </c>
      <c r="E67" s="4" t="s">
        <v>61</v>
      </c>
      <c r="F67" s="7">
        <v>3</v>
      </c>
      <c r="G67" s="8">
        <v>3.6607687614399021E-4</v>
      </c>
      <c r="H67" s="9">
        <v>286.61</v>
      </c>
      <c r="I67" s="8">
        <v>2.0689473139792838E-6</v>
      </c>
      <c r="J67" s="11" t="s">
        <v>414</v>
      </c>
      <c r="K67" s="11" t="s">
        <v>358</v>
      </c>
      <c r="L67" s="4" t="s">
        <v>415</v>
      </c>
      <c r="M67" s="11" t="s">
        <v>416</v>
      </c>
    </row>
    <row r="68" spans="1:13" ht="20" customHeight="1">
      <c r="A68" s="12">
        <v>64</v>
      </c>
      <c r="B68" s="14" t="s">
        <v>417</v>
      </c>
      <c r="C68" s="14" t="s">
        <v>65</v>
      </c>
      <c r="D68" s="13" t="s">
        <v>64</v>
      </c>
      <c r="E68" s="12" t="s">
        <v>66</v>
      </c>
      <c r="F68" s="15">
        <v>3</v>
      </c>
      <c r="G68" s="16">
        <v>3.6607687614399021E-4</v>
      </c>
      <c r="H68" s="17">
        <v>7291.29</v>
      </c>
      <c r="I68" s="16">
        <v>5.2633525909577513E-5</v>
      </c>
      <c r="J68" s="19" t="s">
        <v>418</v>
      </c>
      <c r="K68" s="19" t="s">
        <v>419</v>
      </c>
      <c r="L68" s="12" t="s">
        <v>420</v>
      </c>
      <c r="M68" s="19" t="s">
        <v>421</v>
      </c>
    </row>
    <row r="69" spans="1:13" ht="20" customHeight="1">
      <c r="A69" s="4">
        <v>65</v>
      </c>
      <c r="B69" s="6" t="s">
        <v>422</v>
      </c>
      <c r="C69" s="6" t="s">
        <v>95</v>
      </c>
      <c r="D69" s="5" t="s">
        <v>94</v>
      </c>
      <c r="E69" s="4" t="s">
        <v>96</v>
      </c>
      <c r="F69" s="7">
        <v>3</v>
      </c>
      <c r="G69" s="8">
        <v>3.6607687614399021E-4</v>
      </c>
      <c r="H69" s="9">
        <v>3505</v>
      </c>
      <c r="I69" s="8">
        <v>2.5301490999955999E-5</v>
      </c>
      <c r="J69" s="11" t="s">
        <v>414</v>
      </c>
      <c r="K69" s="11" t="s">
        <v>423</v>
      </c>
      <c r="L69" s="4" t="s">
        <v>424</v>
      </c>
      <c r="M69" s="11" t="s">
        <v>425</v>
      </c>
    </row>
    <row r="70" spans="1:13" ht="20" customHeight="1">
      <c r="A70" s="12">
        <v>66</v>
      </c>
      <c r="B70" s="14" t="s">
        <v>426</v>
      </c>
      <c r="C70" s="14" t="s">
        <v>85</v>
      </c>
      <c r="D70" s="13" t="s">
        <v>84</v>
      </c>
      <c r="E70" s="12" t="s">
        <v>86</v>
      </c>
      <c r="F70" s="15">
        <v>3</v>
      </c>
      <c r="G70" s="16">
        <v>3.6607687614399021E-4</v>
      </c>
      <c r="H70" s="17">
        <v>280000</v>
      </c>
      <c r="I70" s="16">
        <v>2.0212318059879262E-3</v>
      </c>
      <c r="J70" s="19" t="s">
        <v>427</v>
      </c>
      <c r="K70" s="19" t="s">
        <v>428</v>
      </c>
      <c r="L70" s="12" t="s">
        <v>429</v>
      </c>
      <c r="M70" s="19" t="s">
        <v>430</v>
      </c>
    </row>
    <row r="71" spans="1:13" ht="20" customHeight="1">
      <c r="A71" s="4">
        <v>67</v>
      </c>
      <c r="B71" s="6" t="s">
        <v>431</v>
      </c>
      <c r="C71" s="6" t="s">
        <v>56</v>
      </c>
      <c r="D71" s="5" t="s">
        <v>55</v>
      </c>
      <c r="E71" s="4" t="s">
        <v>57</v>
      </c>
      <c r="F71" s="7">
        <v>3</v>
      </c>
      <c r="G71" s="8">
        <v>3.6607687614399021E-4</v>
      </c>
      <c r="H71" s="9">
        <v>80500</v>
      </c>
      <c r="I71" s="8">
        <v>5.8110414422152875E-4</v>
      </c>
      <c r="J71" s="11" t="s">
        <v>414</v>
      </c>
      <c r="K71" s="11" t="s">
        <v>432</v>
      </c>
      <c r="L71" s="4" t="s">
        <v>433</v>
      </c>
      <c r="M71" s="11" t="s">
        <v>434</v>
      </c>
    </row>
    <row r="72" spans="1:13" ht="20" customHeight="1">
      <c r="A72" s="12">
        <v>68</v>
      </c>
      <c r="B72" s="14" t="s">
        <v>435</v>
      </c>
      <c r="C72" s="14" t="s">
        <v>56</v>
      </c>
      <c r="D72" s="13" t="s">
        <v>55</v>
      </c>
      <c r="E72" s="12" t="s">
        <v>57</v>
      </c>
      <c r="F72" s="15">
        <v>3</v>
      </c>
      <c r="G72" s="16">
        <v>3.6607687614399021E-4</v>
      </c>
      <c r="H72" s="17">
        <v>284700</v>
      </c>
      <c r="I72" s="16">
        <v>2.0551596255884369E-3</v>
      </c>
      <c r="J72" s="19" t="s">
        <v>427</v>
      </c>
      <c r="K72" s="19" t="s">
        <v>436</v>
      </c>
      <c r="L72" s="12" t="s">
        <v>437</v>
      </c>
      <c r="M72" s="19" t="s">
        <v>58</v>
      </c>
    </row>
    <row r="73" spans="1:13" ht="20" customHeight="1">
      <c r="A73" s="4">
        <v>69</v>
      </c>
      <c r="B73" s="6" t="s">
        <v>438</v>
      </c>
      <c r="C73" s="6" t="s">
        <v>85</v>
      </c>
      <c r="D73" s="5" t="s">
        <v>84</v>
      </c>
      <c r="E73" s="4" t="s">
        <v>86</v>
      </c>
      <c r="F73" s="7">
        <v>3</v>
      </c>
      <c r="G73" s="8">
        <v>3.6607687614399021E-4</v>
      </c>
      <c r="H73" s="9">
        <v>34650</v>
      </c>
      <c r="I73" s="8">
        <v>2.5012743599100578E-4</v>
      </c>
      <c r="J73" s="11" t="s">
        <v>439</v>
      </c>
      <c r="K73" s="11" t="s">
        <v>440</v>
      </c>
      <c r="L73" s="4" t="s">
        <v>441</v>
      </c>
      <c r="M73" s="11" t="s">
        <v>442</v>
      </c>
    </row>
    <row r="74" spans="1:13" ht="20" customHeight="1">
      <c r="A74" s="12">
        <v>70</v>
      </c>
      <c r="B74" s="14" t="s">
        <v>443</v>
      </c>
      <c r="C74" s="14" t="s">
        <v>65</v>
      </c>
      <c r="D74" s="13" t="s">
        <v>64</v>
      </c>
      <c r="E74" s="12" t="s">
        <v>66</v>
      </c>
      <c r="F74" s="15">
        <v>3</v>
      </c>
      <c r="G74" s="16">
        <v>3.6607687614399021E-4</v>
      </c>
      <c r="H74" s="17">
        <v>6000</v>
      </c>
      <c r="I74" s="16">
        <v>4.33121101283127E-5</v>
      </c>
      <c r="J74" s="19" t="s">
        <v>444</v>
      </c>
      <c r="K74" s="19" t="s">
        <v>445</v>
      </c>
      <c r="L74" s="12" t="s">
        <v>446</v>
      </c>
      <c r="M74" s="19" t="s">
        <v>447</v>
      </c>
    </row>
    <row r="75" spans="1:13" ht="20" customHeight="1">
      <c r="A75" s="4">
        <v>71</v>
      </c>
      <c r="B75" s="6" t="s">
        <v>448</v>
      </c>
      <c r="C75" s="6" t="s">
        <v>56</v>
      </c>
      <c r="D75" s="5" t="s">
        <v>55</v>
      </c>
      <c r="E75" s="4" t="s">
        <v>57</v>
      </c>
      <c r="F75" s="7">
        <v>3</v>
      </c>
      <c r="G75" s="8">
        <v>3.6607687614399021E-4</v>
      </c>
      <c r="H75" s="9">
        <v>175000</v>
      </c>
      <c r="I75" s="8">
        <v>1.263269878742454E-3</v>
      </c>
      <c r="J75" s="11" t="s">
        <v>439</v>
      </c>
      <c r="K75" s="11" t="s">
        <v>449</v>
      </c>
      <c r="L75" s="4" t="s">
        <v>433</v>
      </c>
      <c r="M75" s="11" t="s">
        <v>450</v>
      </c>
    </row>
    <row r="76" spans="1:13" ht="20" customHeight="1">
      <c r="A76" s="12">
        <v>72</v>
      </c>
      <c r="B76" s="14" t="s">
        <v>451</v>
      </c>
      <c r="C76" s="14" t="s">
        <v>60</v>
      </c>
      <c r="D76" s="13" t="s">
        <v>59</v>
      </c>
      <c r="E76" s="12" t="s">
        <v>61</v>
      </c>
      <c r="F76" s="15">
        <v>3</v>
      </c>
      <c r="G76" s="16">
        <v>3.6607687614399021E-4</v>
      </c>
      <c r="H76" s="17">
        <v>120006.6</v>
      </c>
      <c r="I76" s="16">
        <v>8.6628984588739519E-4</v>
      </c>
      <c r="J76" s="19" t="s">
        <v>452</v>
      </c>
      <c r="K76" s="19" t="s">
        <v>453</v>
      </c>
      <c r="L76" s="12" t="s">
        <v>454</v>
      </c>
      <c r="M76" s="19" t="s">
        <v>455</v>
      </c>
    </row>
    <row r="77" spans="1:13" ht="20" customHeight="1">
      <c r="A77" s="4">
        <v>73</v>
      </c>
      <c r="B77" s="6" t="s">
        <v>456</v>
      </c>
      <c r="C77" s="6" t="s">
        <v>52</v>
      </c>
      <c r="D77" s="5" t="s">
        <v>51</v>
      </c>
      <c r="E77" s="4" t="s">
        <v>53</v>
      </c>
      <c r="F77" s="7">
        <v>3</v>
      </c>
      <c r="G77" s="8">
        <v>3.6607687614399021E-4</v>
      </c>
      <c r="H77" s="9">
        <v>305248</v>
      </c>
      <c r="I77" s="8">
        <v>2.2034891654078661E-3</v>
      </c>
      <c r="J77" s="11" t="s">
        <v>457</v>
      </c>
      <c r="K77" s="11" t="s">
        <v>458</v>
      </c>
      <c r="L77" s="4" t="s">
        <v>459</v>
      </c>
      <c r="M77" s="11" t="s">
        <v>54</v>
      </c>
    </row>
    <row r="78" spans="1:13" ht="20" customHeight="1">
      <c r="A78" s="12">
        <v>74</v>
      </c>
      <c r="B78" s="14" t="s">
        <v>460</v>
      </c>
      <c r="C78" s="14" t="s">
        <v>56</v>
      </c>
      <c r="D78" s="13" t="s">
        <v>55</v>
      </c>
      <c r="E78" s="12" t="s">
        <v>57</v>
      </c>
      <c r="F78" s="15">
        <v>3</v>
      </c>
      <c r="G78" s="16">
        <v>3.6607687614399021E-4</v>
      </c>
      <c r="H78" s="17">
        <v>107620</v>
      </c>
      <c r="I78" s="16">
        <v>7.768748820015021E-4</v>
      </c>
      <c r="J78" s="19" t="s">
        <v>461</v>
      </c>
      <c r="K78" s="19" t="s">
        <v>462</v>
      </c>
      <c r="L78" s="12" t="s">
        <v>364</v>
      </c>
      <c r="M78" s="19" t="s">
        <v>463</v>
      </c>
    </row>
    <row r="79" spans="1:13" ht="20" customHeight="1">
      <c r="A79" s="4">
        <v>75</v>
      </c>
      <c r="B79" s="6" t="s">
        <v>464</v>
      </c>
      <c r="C79" s="6" t="s">
        <v>48</v>
      </c>
      <c r="D79" s="5" t="s">
        <v>47</v>
      </c>
      <c r="E79" s="4" t="s">
        <v>49</v>
      </c>
      <c r="F79" s="7">
        <v>3</v>
      </c>
      <c r="G79" s="8">
        <v>3.6607687614399021E-4</v>
      </c>
      <c r="H79" s="9">
        <v>7665</v>
      </c>
      <c r="I79" s="8">
        <v>5.5331220688919473E-5</v>
      </c>
      <c r="J79" s="11" t="s">
        <v>461</v>
      </c>
      <c r="K79" s="11" t="s">
        <v>465</v>
      </c>
      <c r="L79" s="4" t="s">
        <v>466</v>
      </c>
      <c r="M79" s="11" t="s">
        <v>467</v>
      </c>
    </row>
    <row r="80" spans="1:13" ht="20" customHeight="1">
      <c r="A80" s="12">
        <v>76</v>
      </c>
      <c r="B80" s="14" t="s">
        <v>468</v>
      </c>
      <c r="C80" s="14" t="s">
        <v>65</v>
      </c>
      <c r="D80" s="13" t="s">
        <v>64</v>
      </c>
      <c r="E80" s="12" t="s">
        <v>66</v>
      </c>
      <c r="F80" s="15">
        <v>3</v>
      </c>
      <c r="G80" s="16">
        <v>3.6607687614399021E-4</v>
      </c>
      <c r="H80" s="17">
        <v>45465</v>
      </c>
      <c r="I80" s="16">
        <v>3.2819751449728951E-4</v>
      </c>
      <c r="J80" s="19" t="s">
        <v>414</v>
      </c>
      <c r="K80" s="19" t="s">
        <v>469</v>
      </c>
      <c r="L80" s="12" t="s">
        <v>470</v>
      </c>
      <c r="M80" s="19" t="s">
        <v>68</v>
      </c>
    </row>
    <row r="81" spans="1:13" ht="20" customHeight="1">
      <c r="A81" s="4">
        <v>77</v>
      </c>
      <c r="B81" s="6" t="s">
        <v>471</v>
      </c>
      <c r="C81" s="6" t="s">
        <v>65</v>
      </c>
      <c r="D81" s="5" t="s">
        <v>64</v>
      </c>
      <c r="E81" s="4" t="s">
        <v>66</v>
      </c>
      <c r="F81" s="7">
        <v>2</v>
      </c>
      <c r="G81" s="8">
        <v>2.4405125076266019E-4</v>
      </c>
      <c r="H81" s="9">
        <v>87.63</v>
      </c>
      <c r="I81" s="8">
        <v>6.3257336842400695E-7</v>
      </c>
      <c r="J81" s="11" t="s">
        <v>472</v>
      </c>
      <c r="K81" s="11" t="s">
        <v>419</v>
      </c>
      <c r="L81" s="4" t="s">
        <v>473</v>
      </c>
      <c r="M81" s="11" t="s">
        <v>474</v>
      </c>
    </row>
    <row r="82" spans="1:13" ht="20" customHeight="1">
      <c r="A82" s="12">
        <v>78</v>
      </c>
      <c r="B82" s="14" t="s">
        <v>475</v>
      </c>
      <c r="C82" s="14" t="s">
        <v>38</v>
      </c>
      <c r="D82" s="13" t="s">
        <v>37</v>
      </c>
      <c r="E82" s="12" t="s">
        <v>39</v>
      </c>
      <c r="F82" s="15">
        <v>2</v>
      </c>
      <c r="G82" s="16">
        <v>2.4405125076266019E-4</v>
      </c>
      <c r="H82" s="17">
        <v>104736</v>
      </c>
      <c r="I82" s="16">
        <v>7.5605619439982649E-4</v>
      </c>
      <c r="J82" s="19" t="s">
        <v>476</v>
      </c>
      <c r="K82" s="19" t="s">
        <v>477</v>
      </c>
      <c r="L82" s="12" t="s">
        <v>478</v>
      </c>
      <c r="M82" s="19" t="s">
        <v>479</v>
      </c>
    </row>
    <row r="83" spans="1:13" ht="20" customHeight="1">
      <c r="A83" s="4">
        <v>79</v>
      </c>
      <c r="B83" s="6" t="s">
        <v>480</v>
      </c>
      <c r="C83" s="6" t="s">
        <v>43</v>
      </c>
      <c r="D83" s="5" t="s">
        <v>42</v>
      </c>
      <c r="E83" s="4" t="s">
        <v>44</v>
      </c>
      <c r="F83" s="7">
        <v>2</v>
      </c>
      <c r="G83" s="8">
        <v>2.4405125076266019E-4</v>
      </c>
      <c r="H83" s="9">
        <v>83604</v>
      </c>
      <c r="I83" s="8">
        <v>6.0351094252790915E-4</v>
      </c>
      <c r="J83" s="11" t="s">
        <v>481</v>
      </c>
      <c r="K83" s="11" t="s">
        <v>482</v>
      </c>
      <c r="L83" s="4" t="s">
        <v>483</v>
      </c>
      <c r="M83" s="11" t="s">
        <v>46</v>
      </c>
    </row>
    <row r="84" spans="1:13" ht="20" customHeight="1">
      <c r="A84" s="12">
        <v>80</v>
      </c>
      <c r="B84" s="14" t="s">
        <v>484</v>
      </c>
      <c r="C84" s="14" t="s">
        <v>65</v>
      </c>
      <c r="D84" s="13" t="s">
        <v>64</v>
      </c>
      <c r="E84" s="12" t="s">
        <v>66</v>
      </c>
      <c r="F84" s="15">
        <v>2</v>
      </c>
      <c r="G84" s="16">
        <v>2.4405125076266019E-4</v>
      </c>
      <c r="H84" s="17">
        <v>0</v>
      </c>
      <c r="I84" s="16">
        <v>0</v>
      </c>
      <c r="J84" s="19" t="s">
        <v>481</v>
      </c>
      <c r="K84" s="19" t="s">
        <v>295</v>
      </c>
      <c r="L84" s="12" t="s">
        <v>485</v>
      </c>
      <c r="M84" s="19" t="s">
        <v>486</v>
      </c>
    </row>
    <row r="85" spans="1:13" ht="20" customHeight="1">
      <c r="A85" s="4">
        <v>81</v>
      </c>
      <c r="B85" s="6" t="s">
        <v>487</v>
      </c>
      <c r="C85" s="6" t="s">
        <v>65</v>
      </c>
      <c r="D85" s="5" t="s">
        <v>64</v>
      </c>
      <c r="E85" s="4" t="s">
        <v>66</v>
      </c>
      <c r="F85" s="7">
        <v>2</v>
      </c>
      <c r="G85" s="8">
        <v>2.4405125076266019E-4</v>
      </c>
      <c r="H85" s="9">
        <v>0</v>
      </c>
      <c r="I85" s="8">
        <v>0</v>
      </c>
      <c r="J85" s="11" t="s">
        <v>481</v>
      </c>
      <c r="K85" s="11" t="s">
        <v>295</v>
      </c>
      <c r="L85" s="4" t="s">
        <v>485</v>
      </c>
      <c r="M85" s="11" t="s">
        <v>488</v>
      </c>
    </row>
    <row r="86" spans="1:13" ht="20" customHeight="1">
      <c r="A86" s="12">
        <v>82</v>
      </c>
      <c r="B86" s="14" t="s">
        <v>489</v>
      </c>
      <c r="C86" s="14" t="s">
        <v>105</v>
      </c>
      <c r="D86" s="13" t="s">
        <v>104</v>
      </c>
      <c r="E86" s="12" t="s">
        <v>106</v>
      </c>
      <c r="F86" s="15">
        <v>2</v>
      </c>
      <c r="G86" s="16">
        <v>2.4405125076266019E-4</v>
      </c>
      <c r="H86" s="17">
        <v>19004</v>
      </c>
      <c r="I86" s="16">
        <v>1.3718389014640909E-4</v>
      </c>
      <c r="J86" s="19" t="s">
        <v>481</v>
      </c>
      <c r="K86" s="19" t="s">
        <v>490</v>
      </c>
      <c r="L86" s="12" t="s">
        <v>491</v>
      </c>
      <c r="M86" s="19" t="s">
        <v>492</v>
      </c>
    </row>
    <row r="87" spans="1:13" ht="20" customHeight="1">
      <c r="A87" s="4">
        <v>83</v>
      </c>
      <c r="B87" s="6" t="s">
        <v>493</v>
      </c>
      <c r="C87" s="6" t="s">
        <v>65</v>
      </c>
      <c r="D87" s="5" t="s">
        <v>64</v>
      </c>
      <c r="E87" s="4" t="s">
        <v>66</v>
      </c>
      <c r="F87" s="7">
        <v>2</v>
      </c>
      <c r="G87" s="8">
        <v>2.4405125076266019E-4</v>
      </c>
      <c r="H87" s="9">
        <v>396</v>
      </c>
      <c r="I87" s="8">
        <v>2.8585992684686378E-6</v>
      </c>
      <c r="J87" s="11" t="s">
        <v>494</v>
      </c>
      <c r="K87" s="11" t="s">
        <v>495</v>
      </c>
      <c r="L87" s="4" t="s">
        <v>296</v>
      </c>
      <c r="M87" s="11" t="s">
        <v>496</v>
      </c>
    </row>
    <row r="88" spans="1:13" ht="20" customHeight="1">
      <c r="A88" s="12">
        <v>84</v>
      </c>
      <c r="B88" s="14" t="s">
        <v>497</v>
      </c>
      <c r="C88" s="14" t="s">
        <v>38</v>
      </c>
      <c r="D88" s="13" t="s">
        <v>37</v>
      </c>
      <c r="E88" s="12" t="s">
        <v>39</v>
      </c>
      <c r="F88" s="15">
        <v>2</v>
      </c>
      <c r="G88" s="16">
        <v>2.4405125076266019E-4</v>
      </c>
      <c r="H88" s="17">
        <v>79000</v>
      </c>
      <c r="I88" s="16">
        <v>5.7027611668945051E-4</v>
      </c>
      <c r="J88" s="19" t="s">
        <v>498</v>
      </c>
      <c r="K88" s="19" t="s">
        <v>499</v>
      </c>
      <c r="L88" s="12" t="s">
        <v>160</v>
      </c>
      <c r="M88" s="19" t="s">
        <v>41</v>
      </c>
    </row>
    <row r="89" spans="1:13" ht="20" customHeight="1">
      <c r="A89" s="4">
        <v>85</v>
      </c>
      <c r="B89" s="6" t="s">
        <v>500</v>
      </c>
      <c r="C89" s="6" t="s">
        <v>24</v>
      </c>
      <c r="D89" s="5" t="s">
        <v>23</v>
      </c>
      <c r="E89" s="4" t="s">
        <v>25</v>
      </c>
      <c r="F89" s="7">
        <v>2</v>
      </c>
      <c r="G89" s="8">
        <v>2.4405125076266019E-4</v>
      </c>
      <c r="H89" s="9">
        <v>8000</v>
      </c>
      <c r="I89" s="8">
        <v>5.7749480171083598E-5</v>
      </c>
      <c r="J89" s="11" t="s">
        <v>494</v>
      </c>
      <c r="K89" s="11" t="s">
        <v>501</v>
      </c>
      <c r="L89" s="4" t="s">
        <v>502</v>
      </c>
      <c r="M89" s="11" t="s">
        <v>26</v>
      </c>
    </row>
    <row r="90" spans="1:13" ht="20" customHeight="1">
      <c r="A90" s="12">
        <v>86</v>
      </c>
      <c r="B90" s="14" t="s">
        <v>503</v>
      </c>
      <c r="C90" s="14" t="s">
        <v>85</v>
      </c>
      <c r="D90" s="13" t="s">
        <v>84</v>
      </c>
      <c r="E90" s="12" t="s">
        <v>86</v>
      </c>
      <c r="F90" s="15">
        <v>2</v>
      </c>
      <c r="G90" s="16">
        <v>2.4405125076266019E-4</v>
      </c>
      <c r="H90" s="17">
        <v>4130</v>
      </c>
      <c r="I90" s="16">
        <v>2.981316913832191E-5</v>
      </c>
      <c r="J90" s="19" t="s">
        <v>504</v>
      </c>
      <c r="K90" s="19" t="s">
        <v>505</v>
      </c>
      <c r="L90" s="12" t="s">
        <v>506</v>
      </c>
      <c r="M90" s="19" t="s">
        <v>507</v>
      </c>
    </row>
    <row r="91" spans="1:13" ht="20" customHeight="1">
      <c r="A91" s="4">
        <v>87</v>
      </c>
      <c r="B91" s="6" t="s">
        <v>508</v>
      </c>
      <c r="C91" s="6" t="s">
        <v>24</v>
      </c>
      <c r="D91" s="5" t="s">
        <v>23</v>
      </c>
      <c r="E91" s="4" t="s">
        <v>25</v>
      </c>
      <c r="F91" s="7">
        <v>2</v>
      </c>
      <c r="G91" s="8">
        <v>2.4405125076266019E-4</v>
      </c>
      <c r="H91" s="9">
        <v>12000</v>
      </c>
      <c r="I91" s="8">
        <v>8.66242202566254E-5</v>
      </c>
      <c r="J91" s="11" t="s">
        <v>494</v>
      </c>
      <c r="K91" s="11" t="s">
        <v>509</v>
      </c>
      <c r="L91" s="4" t="s">
        <v>332</v>
      </c>
      <c r="M91" s="11" t="s">
        <v>510</v>
      </c>
    </row>
    <row r="92" spans="1:13" ht="20" customHeight="1">
      <c r="A92" s="12">
        <v>88</v>
      </c>
      <c r="B92" s="14" t="s">
        <v>511</v>
      </c>
      <c r="C92" s="14" t="s">
        <v>33</v>
      </c>
      <c r="D92" s="13" t="s">
        <v>32</v>
      </c>
      <c r="E92" s="12" t="s">
        <v>34</v>
      </c>
      <c r="F92" s="15">
        <v>2</v>
      </c>
      <c r="G92" s="16">
        <v>2.4405125076266019E-4</v>
      </c>
      <c r="H92" s="17">
        <v>16646.25</v>
      </c>
      <c r="I92" s="16">
        <v>1.201640355372375E-4</v>
      </c>
      <c r="J92" s="19" t="s">
        <v>504</v>
      </c>
      <c r="K92" s="19" t="s">
        <v>512</v>
      </c>
      <c r="L92" s="12" t="s">
        <v>268</v>
      </c>
      <c r="M92" s="19" t="s">
        <v>513</v>
      </c>
    </row>
    <row r="93" spans="1:13" ht="20" customHeight="1">
      <c r="A93" s="4">
        <v>89</v>
      </c>
      <c r="B93" s="6" t="s">
        <v>514</v>
      </c>
      <c r="C93" s="6" t="s">
        <v>85</v>
      </c>
      <c r="D93" s="5" t="s">
        <v>84</v>
      </c>
      <c r="E93" s="4" t="s">
        <v>86</v>
      </c>
      <c r="F93" s="7">
        <v>2</v>
      </c>
      <c r="G93" s="8">
        <v>2.4405125076266019E-4</v>
      </c>
      <c r="H93" s="9">
        <v>3500</v>
      </c>
      <c r="I93" s="8">
        <v>2.5265397574849069E-5</v>
      </c>
      <c r="J93" s="11" t="s">
        <v>515</v>
      </c>
      <c r="K93" s="11" t="s">
        <v>516</v>
      </c>
      <c r="L93" s="4" t="s">
        <v>517</v>
      </c>
      <c r="M93" s="11" t="s">
        <v>88</v>
      </c>
    </row>
    <row r="94" spans="1:13" ht="20" customHeight="1">
      <c r="A94" s="12">
        <v>90</v>
      </c>
      <c r="B94" s="14" t="s">
        <v>518</v>
      </c>
      <c r="C94" s="14" t="s">
        <v>65</v>
      </c>
      <c r="D94" s="13" t="s">
        <v>64</v>
      </c>
      <c r="E94" s="12" t="s">
        <v>66</v>
      </c>
      <c r="F94" s="15">
        <v>2</v>
      </c>
      <c r="G94" s="16">
        <v>2.4405125076266019E-4</v>
      </c>
      <c r="H94" s="17">
        <v>8665</v>
      </c>
      <c r="I94" s="16">
        <v>6.2549905710304919E-5</v>
      </c>
      <c r="J94" s="19" t="s">
        <v>519</v>
      </c>
      <c r="K94" s="19" t="s">
        <v>518</v>
      </c>
      <c r="L94" s="12" t="s">
        <v>382</v>
      </c>
      <c r="M94" s="19" t="s">
        <v>383</v>
      </c>
    </row>
    <row r="95" spans="1:13" ht="20" customHeight="1">
      <c r="A95" s="4">
        <v>91</v>
      </c>
      <c r="B95" s="6" t="s">
        <v>520</v>
      </c>
      <c r="C95" s="6" t="s">
        <v>33</v>
      </c>
      <c r="D95" s="5" t="s">
        <v>32</v>
      </c>
      <c r="E95" s="4" t="s">
        <v>34</v>
      </c>
      <c r="F95" s="7">
        <v>2</v>
      </c>
      <c r="G95" s="8">
        <v>2.4405125076266019E-4</v>
      </c>
      <c r="H95" s="9">
        <v>50</v>
      </c>
      <c r="I95" s="8">
        <v>3.6093425106927248E-7</v>
      </c>
      <c r="J95" s="11" t="s">
        <v>519</v>
      </c>
      <c r="K95" s="11" t="s">
        <v>521</v>
      </c>
      <c r="L95" s="4" t="s">
        <v>522</v>
      </c>
      <c r="M95" s="11" t="s">
        <v>523</v>
      </c>
    </row>
    <row r="96" spans="1:13" ht="20" customHeight="1">
      <c r="A96" s="12">
        <v>92</v>
      </c>
      <c r="B96" s="14" t="s">
        <v>524</v>
      </c>
      <c r="C96" s="14" t="s">
        <v>105</v>
      </c>
      <c r="D96" s="13" t="s">
        <v>104</v>
      </c>
      <c r="E96" s="12" t="s">
        <v>106</v>
      </c>
      <c r="F96" s="15">
        <v>1</v>
      </c>
      <c r="G96" s="16">
        <v>1.2202562538133009E-4</v>
      </c>
      <c r="H96" s="17">
        <v>53199</v>
      </c>
      <c r="I96" s="16">
        <v>3.8402682445268449E-4</v>
      </c>
      <c r="J96" s="19" t="s">
        <v>525</v>
      </c>
      <c r="K96" s="19" t="s">
        <v>526</v>
      </c>
      <c r="L96" s="12" t="s">
        <v>527</v>
      </c>
      <c r="M96" s="19" t="s">
        <v>528</v>
      </c>
    </row>
    <row r="97" spans="1:13" ht="20" customHeight="1">
      <c r="A97" s="4">
        <v>93</v>
      </c>
      <c r="B97" s="6" t="s">
        <v>529</v>
      </c>
      <c r="C97" s="6" t="s">
        <v>95</v>
      </c>
      <c r="D97" s="5" t="s">
        <v>94</v>
      </c>
      <c r="E97" s="4" t="s">
        <v>96</v>
      </c>
      <c r="F97" s="7">
        <v>1</v>
      </c>
      <c r="G97" s="8">
        <v>1.2202562538133009E-4</v>
      </c>
      <c r="H97" s="9">
        <v>4800</v>
      </c>
      <c r="I97" s="8">
        <v>3.4649688102650163E-5</v>
      </c>
      <c r="J97" s="11" t="s">
        <v>530</v>
      </c>
      <c r="K97" s="11" t="s">
        <v>531</v>
      </c>
      <c r="L97" s="4" t="s">
        <v>406</v>
      </c>
      <c r="M97" s="11" t="s">
        <v>532</v>
      </c>
    </row>
    <row r="98" spans="1:13" ht="20" customHeight="1">
      <c r="A98" s="12">
        <v>94</v>
      </c>
      <c r="B98" s="14" t="s">
        <v>533</v>
      </c>
      <c r="C98" s="14" t="s">
        <v>38</v>
      </c>
      <c r="D98" s="13" t="s">
        <v>37</v>
      </c>
      <c r="E98" s="12" t="s">
        <v>39</v>
      </c>
      <c r="F98" s="15">
        <v>1</v>
      </c>
      <c r="G98" s="16">
        <v>1.2202562538133009E-4</v>
      </c>
      <c r="H98" s="17">
        <v>30000</v>
      </c>
      <c r="I98" s="16">
        <v>2.1656055064156349E-4</v>
      </c>
      <c r="J98" s="19" t="s">
        <v>525</v>
      </c>
      <c r="K98" s="19" t="s">
        <v>534</v>
      </c>
      <c r="L98" s="12" t="s">
        <v>535</v>
      </c>
      <c r="M98" s="19" t="s">
        <v>536</v>
      </c>
    </row>
    <row r="99" spans="1:13" ht="20" customHeight="1">
      <c r="A99" s="4">
        <v>95</v>
      </c>
      <c r="B99" s="6" t="s">
        <v>537</v>
      </c>
      <c r="C99" s="6" t="s">
        <v>100</v>
      </c>
      <c r="D99" s="5" t="s">
        <v>99</v>
      </c>
      <c r="E99" s="4" t="s">
        <v>101</v>
      </c>
      <c r="F99" s="7">
        <v>1</v>
      </c>
      <c r="G99" s="8">
        <v>1.2202562538133009E-4</v>
      </c>
      <c r="H99" s="9">
        <v>157102.20699999999</v>
      </c>
      <c r="I99" s="8">
        <v>1.134071348497496E-3</v>
      </c>
      <c r="J99" s="11" t="s">
        <v>525</v>
      </c>
      <c r="K99" s="11" t="s">
        <v>538</v>
      </c>
      <c r="L99" s="4" t="s">
        <v>539</v>
      </c>
      <c r="M99" s="11" t="s">
        <v>540</v>
      </c>
    </row>
    <row r="100" spans="1:13" ht="20" customHeight="1">
      <c r="A100" s="12">
        <v>96</v>
      </c>
      <c r="B100" s="14" t="s">
        <v>541</v>
      </c>
      <c r="C100" s="14" t="s">
        <v>56</v>
      </c>
      <c r="D100" s="13" t="s">
        <v>55</v>
      </c>
      <c r="E100" s="12" t="s">
        <v>57</v>
      </c>
      <c r="F100" s="15">
        <v>1</v>
      </c>
      <c r="G100" s="16">
        <v>1.2202562538133009E-4</v>
      </c>
      <c r="H100" s="17">
        <v>9000</v>
      </c>
      <c r="I100" s="16">
        <v>6.4968165192469044E-5</v>
      </c>
      <c r="J100" s="19" t="s">
        <v>525</v>
      </c>
      <c r="K100" s="19" t="s">
        <v>542</v>
      </c>
      <c r="L100" s="12" t="s">
        <v>543</v>
      </c>
      <c r="M100" s="19" t="s">
        <v>544</v>
      </c>
    </row>
    <row r="101" spans="1:13" ht="20" customHeight="1">
      <c r="A101" s="4">
        <v>97</v>
      </c>
      <c r="B101" s="6" t="s">
        <v>545</v>
      </c>
      <c r="C101" s="6" t="s">
        <v>90</v>
      </c>
      <c r="D101" s="5" t="s">
        <v>89</v>
      </c>
      <c r="E101" s="4" t="s">
        <v>91</v>
      </c>
      <c r="F101" s="7">
        <v>1</v>
      </c>
      <c r="G101" s="8">
        <v>1.2202562538133009E-4</v>
      </c>
      <c r="H101" s="9">
        <v>500</v>
      </c>
      <c r="I101" s="8">
        <v>3.6093425106927249E-6</v>
      </c>
      <c r="J101" s="11" t="s">
        <v>525</v>
      </c>
      <c r="K101" s="11" t="s">
        <v>546</v>
      </c>
      <c r="L101" s="4" t="s">
        <v>547</v>
      </c>
      <c r="M101" s="11" t="s">
        <v>93</v>
      </c>
    </row>
    <row r="102" spans="1:13" ht="20" customHeight="1">
      <c r="A102" s="12">
        <v>98</v>
      </c>
      <c r="B102" s="14" t="s">
        <v>548</v>
      </c>
      <c r="C102" s="14" t="s">
        <v>85</v>
      </c>
      <c r="D102" s="13" t="s">
        <v>84</v>
      </c>
      <c r="E102" s="12" t="s">
        <v>86</v>
      </c>
      <c r="F102" s="15">
        <v>1</v>
      </c>
      <c r="G102" s="16">
        <v>1.2202562538133009E-4</v>
      </c>
      <c r="H102" s="17">
        <v>3000</v>
      </c>
      <c r="I102" s="16">
        <v>2.165605506415635E-5</v>
      </c>
      <c r="J102" s="19" t="s">
        <v>525</v>
      </c>
      <c r="K102" s="19" t="s">
        <v>549</v>
      </c>
      <c r="L102" s="12" t="s">
        <v>550</v>
      </c>
      <c r="M102" s="19" t="s">
        <v>551</v>
      </c>
    </row>
    <row r="103" spans="1:13" ht="20" customHeight="1">
      <c r="A103" s="4">
        <v>99</v>
      </c>
      <c r="B103" s="6" t="s">
        <v>552</v>
      </c>
      <c r="C103" s="6" t="s">
        <v>95</v>
      </c>
      <c r="D103" s="5" t="s">
        <v>94</v>
      </c>
      <c r="E103" s="4" t="s">
        <v>96</v>
      </c>
      <c r="F103" s="7">
        <v>1</v>
      </c>
      <c r="G103" s="8">
        <v>1.2202562538133009E-4</v>
      </c>
      <c r="H103" s="9">
        <v>5000</v>
      </c>
      <c r="I103" s="8">
        <v>3.6093425106927248E-5</v>
      </c>
      <c r="J103" s="11" t="s">
        <v>525</v>
      </c>
      <c r="K103" s="11" t="s">
        <v>553</v>
      </c>
      <c r="L103" s="4" t="s">
        <v>554</v>
      </c>
      <c r="M103" s="11" t="s">
        <v>555</v>
      </c>
    </row>
    <row r="104" spans="1:13" ht="20" customHeight="1">
      <c r="A104" s="12">
        <v>100</v>
      </c>
      <c r="B104" s="14" t="s">
        <v>556</v>
      </c>
      <c r="C104" s="14" t="s">
        <v>56</v>
      </c>
      <c r="D104" s="13" t="s">
        <v>55</v>
      </c>
      <c r="E104" s="12" t="s">
        <v>57</v>
      </c>
      <c r="F104" s="15">
        <v>1</v>
      </c>
      <c r="G104" s="16">
        <v>1.2202562538133009E-4</v>
      </c>
      <c r="H104" s="17">
        <v>4300</v>
      </c>
      <c r="I104" s="16">
        <v>3.1040345591957437E-5</v>
      </c>
      <c r="J104" s="19" t="s">
        <v>525</v>
      </c>
      <c r="K104" s="19" t="s">
        <v>557</v>
      </c>
      <c r="L104" s="12" t="s">
        <v>558</v>
      </c>
      <c r="M104" s="19" t="s">
        <v>559</v>
      </c>
    </row>
    <row r="105" spans="1:13" ht="20" customHeight="1">
      <c r="A105" s="4">
        <v>101</v>
      </c>
      <c r="B105" s="6" t="s">
        <v>560</v>
      </c>
      <c r="C105" s="6" t="s">
        <v>85</v>
      </c>
      <c r="D105" s="5" t="s">
        <v>84</v>
      </c>
      <c r="E105" s="4" t="s">
        <v>86</v>
      </c>
      <c r="F105" s="7">
        <v>1</v>
      </c>
      <c r="G105" s="8">
        <v>1.2202562538133009E-4</v>
      </c>
      <c r="H105" s="9">
        <v>25000</v>
      </c>
      <c r="I105" s="8">
        <v>1.8046712553463631E-4</v>
      </c>
      <c r="J105" s="11" t="s">
        <v>525</v>
      </c>
      <c r="K105" s="11" t="s">
        <v>561</v>
      </c>
      <c r="L105" s="4" t="s">
        <v>562</v>
      </c>
      <c r="M105" s="11" t="s">
        <v>563</v>
      </c>
    </row>
    <row r="106" spans="1:13" ht="20" customHeight="1">
      <c r="A106" s="12">
        <v>102</v>
      </c>
      <c r="B106" s="14" t="s">
        <v>564</v>
      </c>
      <c r="C106" s="14" t="s">
        <v>65</v>
      </c>
      <c r="D106" s="13" t="s">
        <v>64</v>
      </c>
      <c r="E106" s="12" t="s">
        <v>66</v>
      </c>
      <c r="F106" s="15">
        <v>1</v>
      </c>
      <c r="G106" s="16">
        <v>1.2202562538133009E-4</v>
      </c>
      <c r="H106" s="17">
        <v>98314</v>
      </c>
      <c r="I106" s="16">
        <v>7.0969779919248912E-4</v>
      </c>
      <c r="J106" s="19" t="s">
        <v>525</v>
      </c>
      <c r="K106" s="19" t="s">
        <v>565</v>
      </c>
      <c r="L106" s="12" t="s">
        <v>566</v>
      </c>
      <c r="M106" s="19" t="s">
        <v>567</v>
      </c>
    </row>
    <row r="107" spans="1:13" ht="20" customHeight="1">
      <c r="A107" s="4">
        <v>103</v>
      </c>
      <c r="B107" s="6" t="s">
        <v>568</v>
      </c>
      <c r="C107" s="6" t="s">
        <v>65</v>
      </c>
      <c r="D107" s="5" t="s">
        <v>64</v>
      </c>
      <c r="E107" s="4" t="s">
        <v>66</v>
      </c>
      <c r="F107" s="7">
        <v>1</v>
      </c>
      <c r="G107" s="8">
        <v>1.2202562538133009E-4</v>
      </c>
      <c r="H107" s="9">
        <v>1620</v>
      </c>
      <c r="I107" s="8">
        <v>1.1694269734644431E-5</v>
      </c>
      <c r="J107" s="11" t="s">
        <v>525</v>
      </c>
      <c r="K107" s="11" t="s">
        <v>569</v>
      </c>
      <c r="L107" s="4" t="s">
        <v>570</v>
      </c>
      <c r="M107" s="11" t="s">
        <v>571</v>
      </c>
    </row>
    <row r="108" spans="1:13" ht="20" customHeight="1">
      <c r="A108" s="12">
        <v>104</v>
      </c>
      <c r="B108" s="14" t="s">
        <v>572</v>
      </c>
      <c r="C108" s="14" t="s">
        <v>65</v>
      </c>
      <c r="D108" s="13" t="s">
        <v>64</v>
      </c>
      <c r="E108" s="12" t="s">
        <v>66</v>
      </c>
      <c r="F108" s="15">
        <v>1</v>
      </c>
      <c r="G108" s="16">
        <v>1.2202562538133009E-4</v>
      </c>
      <c r="H108" s="17">
        <v>2000</v>
      </c>
      <c r="I108" s="16">
        <v>1.44373700427709E-5</v>
      </c>
      <c r="J108" s="19" t="s">
        <v>525</v>
      </c>
      <c r="K108" s="19" t="s">
        <v>573</v>
      </c>
      <c r="L108" s="12" t="s">
        <v>574</v>
      </c>
      <c r="M108" s="19" t="s">
        <v>575</v>
      </c>
    </row>
    <row r="109" spans="1:13" ht="20" customHeight="1">
      <c r="A109" s="4">
        <v>105</v>
      </c>
      <c r="B109" s="6" t="s">
        <v>576</v>
      </c>
      <c r="C109" s="6" t="s">
        <v>56</v>
      </c>
      <c r="D109" s="5" t="s">
        <v>55</v>
      </c>
      <c r="E109" s="4" t="s">
        <v>57</v>
      </c>
      <c r="F109" s="7">
        <v>1</v>
      </c>
      <c r="G109" s="8">
        <v>1.2202562538133009E-4</v>
      </c>
      <c r="H109" s="9">
        <v>20000</v>
      </c>
      <c r="I109" s="8">
        <v>1.4437370042770899E-4</v>
      </c>
      <c r="J109" s="11" t="s">
        <v>525</v>
      </c>
      <c r="K109" s="11" t="s">
        <v>557</v>
      </c>
      <c r="L109" s="4" t="s">
        <v>577</v>
      </c>
      <c r="M109" s="11" t="s">
        <v>578</v>
      </c>
    </row>
    <row r="110" spans="1:13" ht="20" customHeight="1">
      <c r="A110" s="12">
        <v>106</v>
      </c>
      <c r="B110" s="14" t="s">
        <v>579</v>
      </c>
      <c r="C110" s="14" t="s">
        <v>48</v>
      </c>
      <c r="D110" s="13" t="s">
        <v>47</v>
      </c>
      <c r="E110" s="12" t="s">
        <v>49</v>
      </c>
      <c r="F110" s="15">
        <v>1</v>
      </c>
      <c r="G110" s="16">
        <v>1.2202562538133009E-4</v>
      </c>
      <c r="H110" s="17">
        <v>8280</v>
      </c>
      <c r="I110" s="16">
        <v>5.9770711977071523E-5</v>
      </c>
      <c r="J110" s="19" t="s">
        <v>530</v>
      </c>
      <c r="K110" s="19" t="s">
        <v>580</v>
      </c>
      <c r="L110" s="12" t="s">
        <v>581</v>
      </c>
      <c r="M110" s="19" t="s">
        <v>582</v>
      </c>
    </row>
    <row r="111" spans="1:13" ht="20" customHeight="1">
      <c r="A111" s="4">
        <v>107</v>
      </c>
      <c r="B111" s="6" t="s">
        <v>583</v>
      </c>
      <c r="C111" s="6" t="s">
        <v>85</v>
      </c>
      <c r="D111" s="5" t="s">
        <v>84</v>
      </c>
      <c r="E111" s="4" t="s">
        <v>86</v>
      </c>
      <c r="F111" s="7">
        <v>1</v>
      </c>
      <c r="G111" s="8">
        <v>1.2202562538133009E-4</v>
      </c>
      <c r="H111" s="9">
        <v>100000</v>
      </c>
      <c r="I111" s="8">
        <v>7.2186850213854501E-4</v>
      </c>
      <c r="J111" s="11" t="s">
        <v>530</v>
      </c>
      <c r="K111" s="11" t="s">
        <v>584</v>
      </c>
      <c r="L111" s="4" t="s">
        <v>585</v>
      </c>
      <c r="M111" s="11" t="s">
        <v>586</v>
      </c>
    </row>
    <row r="112" spans="1:13" ht="20" customHeight="1">
      <c r="A112" s="12">
        <v>108</v>
      </c>
      <c r="B112" s="14" t="s">
        <v>587</v>
      </c>
      <c r="C112" s="14" t="s">
        <v>65</v>
      </c>
      <c r="D112" s="13" t="s">
        <v>64</v>
      </c>
      <c r="E112" s="12" t="s">
        <v>66</v>
      </c>
      <c r="F112" s="15">
        <v>1</v>
      </c>
      <c r="G112" s="16">
        <v>1.2202562538133009E-4</v>
      </c>
      <c r="H112" s="17">
        <v>418600</v>
      </c>
      <c r="I112" s="16">
        <v>3.0217415499519491E-3</v>
      </c>
      <c r="J112" s="19" t="s">
        <v>530</v>
      </c>
      <c r="K112" s="19" t="s">
        <v>588</v>
      </c>
      <c r="L112" s="12" t="s">
        <v>589</v>
      </c>
      <c r="M112" s="19" t="s">
        <v>590</v>
      </c>
    </row>
    <row r="113" spans="1:13" ht="20" customHeight="1">
      <c r="A113" s="4">
        <v>109</v>
      </c>
      <c r="B113" s="6" t="s">
        <v>591</v>
      </c>
      <c r="C113" s="6" t="s">
        <v>65</v>
      </c>
      <c r="D113" s="5" t="s">
        <v>64</v>
      </c>
      <c r="E113" s="4" t="s">
        <v>66</v>
      </c>
      <c r="F113" s="7">
        <v>1</v>
      </c>
      <c r="G113" s="8">
        <v>1.2202562538133009E-4</v>
      </c>
      <c r="H113" s="9">
        <v>2000</v>
      </c>
      <c r="I113" s="8">
        <v>1.44373700427709E-5</v>
      </c>
      <c r="J113" s="11" t="s">
        <v>530</v>
      </c>
      <c r="K113" s="11" t="s">
        <v>295</v>
      </c>
      <c r="L113" s="4" t="s">
        <v>592</v>
      </c>
      <c r="M113" s="11" t="s">
        <v>593</v>
      </c>
    </row>
    <row r="114" spans="1:13" ht="20" customHeight="1">
      <c r="A114" s="12">
        <v>110</v>
      </c>
      <c r="B114" s="14" t="s">
        <v>594</v>
      </c>
      <c r="C114" s="14" t="s">
        <v>65</v>
      </c>
      <c r="D114" s="13" t="s">
        <v>64</v>
      </c>
      <c r="E114" s="12" t="s">
        <v>66</v>
      </c>
      <c r="F114" s="15">
        <v>1</v>
      </c>
      <c r="G114" s="16">
        <v>1.2202562538133009E-4</v>
      </c>
      <c r="H114" s="17">
        <v>0</v>
      </c>
      <c r="I114" s="16">
        <v>0</v>
      </c>
      <c r="J114" s="19" t="s">
        <v>530</v>
      </c>
      <c r="K114" s="19" t="s">
        <v>295</v>
      </c>
      <c r="L114" s="12" t="s">
        <v>485</v>
      </c>
      <c r="M114" s="19" t="s">
        <v>595</v>
      </c>
    </row>
    <row r="115" spans="1:13" ht="20" customHeight="1">
      <c r="A115" s="4">
        <v>111</v>
      </c>
      <c r="B115" s="6" t="s">
        <v>596</v>
      </c>
      <c r="C115" s="6" t="s">
        <v>85</v>
      </c>
      <c r="D115" s="5" t="s">
        <v>84</v>
      </c>
      <c r="E115" s="4" t="s">
        <v>86</v>
      </c>
      <c r="F115" s="7">
        <v>1</v>
      </c>
      <c r="G115" s="8">
        <v>1.2202562538133009E-4</v>
      </c>
      <c r="H115" s="9">
        <v>695</v>
      </c>
      <c r="I115" s="8">
        <v>5.0169860898628871E-6</v>
      </c>
      <c r="J115" s="11" t="s">
        <v>530</v>
      </c>
      <c r="K115" s="11" t="s">
        <v>390</v>
      </c>
      <c r="L115" s="4" t="s">
        <v>597</v>
      </c>
      <c r="M115" s="11" t="s">
        <v>598</v>
      </c>
    </row>
    <row r="116" spans="1:13" ht="20" customHeight="1">
      <c r="A116" s="12">
        <v>112</v>
      </c>
      <c r="B116" s="14" t="s">
        <v>599</v>
      </c>
      <c r="C116" s="14" t="s">
        <v>105</v>
      </c>
      <c r="D116" s="13" t="s">
        <v>104</v>
      </c>
      <c r="E116" s="12" t="s">
        <v>106</v>
      </c>
      <c r="F116" s="15">
        <v>1</v>
      </c>
      <c r="G116" s="16">
        <v>1.2202562538133009E-4</v>
      </c>
      <c r="H116" s="17">
        <v>3400</v>
      </c>
      <c r="I116" s="16">
        <v>2.454352907271053E-5</v>
      </c>
      <c r="J116" s="19" t="s">
        <v>530</v>
      </c>
      <c r="K116" s="19" t="s">
        <v>600</v>
      </c>
      <c r="L116" s="12" t="s">
        <v>601</v>
      </c>
      <c r="M116" s="19" t="s">
        <v>108</v>
      </c>
    </row>
    <row r="117" spans="1:13" ht="20" customHeight="1">
      <c r="A117" s="4">
        <v>113</v>
      </c>
      <c r="B117" s="6" t="s">
        <v>602</v>
      </c>
      <c r="C117" s="6" t="s">
        <v>38</v>
      </c>
      <c r="D117" s="5" t="s">
        <v>37</v>
      </c>
      <c r="E117" s="4" t="s">
        <v>39</v>
      </c>
      <c r="F117" s="7">
        <v>1</v>
      </c>
      <c r="G117" s="8">
        <v>1.2202562538133009E-4</v>
      </c>
      <c r="H117" s="9">
        <v>25000</v>
      </c>
      <c r="I117" s="8">
        <v>1.8046712553463631E-4</v>
      </c>
      <c r="J117" s="11" t="s">
        <v>530</v>
      </c>
      <c r="K117" s="11" t="s">
        <v>603</v>
      </c>
      <c r="L117" s="4" t="s">
        <v>604</v>
      </c>
      <c r="M117" s="11" t="s">
        <v>605</v>
      </c>
    </row>
    <row r="118" spans="1:13" ht="20" customHeight="1">
      <c r="A118" s="12">
        <v>114</v>
      </c>
      <c r="B118" s="14" t="s">
        <v>606</v>
      </c>
      <c r="C118" s="14" t="s">
        <v>90</v>
      </c>
      <c r="D118" s="13" t="s">
        <v>89</v>
      </c>
      <c r="E118" s="12" t="s">
        <v>91</v>
      </c>
      <c r="F118" s="15">
        <v>1</v>
      </c>
      <c r="G118" s="16">
        <v>1.2202562538133009E-4</v>
      </c>
      <c r="H118" s="17">
        <v>180</v>
      </c>
      <c r="I118" s="16">
        <v>1.2993633038493809E-6</v>
      </c>
      <c r="J118" s="19" t="s">
        <v>530</v>
      </c>
      <c r="K118" s="19" t="s">
        <v>607</v>
      </c>
      <c r="L118" s="12" t="s">
        <v>608</v>
      </c>
      <c r="M118" s="19" t="s">
        <v>609</v>
      </c>
    </row>
    <row r="119" spans="1:13" ht="20" customHeight="1">
      <c r="A119" s="4">
        <v>115</v>
      </c>
      <c r="B119" s="6" t="s">
        <v>610</v>
      </c>
      <c r="C119" s="6" t="s">
        <v>65</v>
      </c>
      <c r="D119" s="5" t="s">
        <v>64</v>
      </c>
      <c r="E119" s="4" t="s">
        <v>66</v>
      </c>
      <c r="F119" s="7">
        <v>1</v>
      </c>
      <c r="G119" s="8">
        <v>1.2202562538133009E-4</v>
      </c>
      <c r="H119" s="9">
        <v>22</v>
      </c>
      <c r="I119" s="8">
        <v>1.5881107047047989E-7</v>
      </c>
      <c r="J119" s="11" t="s">
        <v>611</v>
      </c>
      <c r="K119" s="11" t="s">
        <v>295</v>
      </c>
      <c r="L119" s="4" t="s">
        <v>612</v>
      </c>
      <c r="M119" s="11" t="s">
        <v>613</v>
      </c>
    </row>
    <row r="120" spans="1:13" ht="20" customHeight="1">
      <c r="A120" s="12">
        <v>116</v>
      </c>
      <c r="B120" s="14" t="s">
        <v>614</v>
      </c>
      <c r="C120" s="14" t="s">
        <v>65</v>
      </c>
      <c r="D120" s="13" t="s">
        <v>64</v>
      </c>
      <c r="E120" s="12" t="s">
        <v>66</v>
      </c>
      <c r="F120" s="15">
        <v>1</v>
      </c>
      <c r="G120" s="16">
        <v>1.2202562538133009E-4</v>
      </c>
      <c r="H120" s="17">
        <v>400</v>
      </c>
      <c r="I120" s="16">
        <v>2.8874740085541798E-6</v>
      </c>
      <c r="J120" s="19" t="s">
        <v>611</v>
      </c>
      <c r="K120" s="19" t="s">
        <v>295</v>
      </c>
      <c r="L120" s="12" t="s">
        <v>615</v>
      </c>
      <c r="M120" s="19" t="s">
        <v>616</v>
      </c>
    </row>
    <row r="121" spans="1:13" ht="20" customHeight="1">
      <c r="A121" s="4">
        <v>117</v>
      </c>
      <c r="B121" s="6" t="s">
        <v>617</v>
      </c>
      <c r="C121" s="6" t="s">
        <v>95</v>
      </c>
      <c r="D121" s="5" t="s">
        <v>94</v>
      </c>
      <c r="E121" s="4" t="s">
        <v>96</v>
      </c>
      <c r="F121" s="7">
        <v>1</v>
      </c>
      <c r="G121" s="8">
        <v>1.2202562538133009E-4</v>
      </c>
      <c r="H121" s="9">
        <v>420</v>
      </c>
      <c r="I121" s="8">
        <v>3.0318477089818888E-6</v>
      </c>
      <c r="J121" s="11" t="s">
        <v>611</v>
      </c>
      <c r="K121" s="11" t="s">
        <v>618</v>
      </c>
      <c r="L121" s="4" t="s">
        <v>619</v>
      </c>
      <c r="M121" s="11" t="s">
        <v>620</v>
      </c>
    </row>
    <row r="122" spans="1:13" ht="20" customHeight="1">
      <c r="A122" s="12">
        <v>118</v>
      </c>
      <c r="B122" s="14" t="s">
        <v>621</v>
      </c>
      <c r="C122" s="14" t="s">
        <v>33</v>
      </c>
      <c r="D122" s="13" t="s">
        <v>32</v>
      </c>
      <c r="E122" s="12" t="s">
        <v>34</v>
      </c>
      <c r="F122" s="15">
        <v>1</v>
      </c>
      <c r="G122" s="16">
        <v>1.2202562538133009E-4</v>
      </c>
      <c r="H122" s="17">
        <v>57500</v>
      </c>
      <c r="I122" s="16">
        <v>4.1507438872966329E-4</v>
      </c>
      <c r="J122" s="19" t="s">
        <v>611</v>
      </c>
      <c r="K122" s="19" t="s">
        <v>622</v>
      </c>
      <c r="L122" s="12" t="s">
        <v>268</v>
      </c>
      <c r="M122" s="19" t="s">
        <v>623</v>
      </c>
    </row>
    <row r="123" spans="1:13" ht="20" customHeight="1">
      <c r="A123" s="4">
        <v>119</v>
      </c>
      <c r="B123" s="6" t="s">
        <v>624</v>
      </c>
      <c r="C123" s="6" t="s">
        <v>90</v>
      </c>
      <c r="D123" s="5" t="s">
        <v>89</v>
      </c>
      <c r="E123" s="4" t="s">
        <v>91</v>
      </c>
      <c r="F123" s="7">
        <v>1</v>
      </c>
      <c r="G123" s="8">
        <v>1.2202562538133009E-4</v>
      </c>
      <c r="H123" s="9">
        <v>13600</v>
      </c>
      <c r="I123" s="8">
        <v>9.8174116290842121E-5</v>
      </c>
      <c r="J123" s="11" t="s">
        <v>611</v>
      </c>
      <c r="K123" s="11" t="s">
        <v>625</v>
      </c>
      <c r="L123" s="4" t="s">
        <v>626</v>
      </c>
      <c r="M123" s="11" t="s">
        <v>627</v>
      </c>
    </row>
    <row r="124" spans="1:13" ht="20" customHeight="1">
      <c r="A124" s="12">
        <v>120</v>
      </c>
      <c r="B124" s="14" t="s">
        <v>628</v>
      </c>
      <c r="C124" s="14" t="s">
        <v>85</v>
      </c>
      <c r="D124" s="13" t="s">
        <v>84</v>
      </c>
      <c r="E124" s="12" t="s">
        <v>86</v>
      </c>
      <c r="F124" s="15">
        <v>1</v>
      </c>
      <c r="G124" s="16">
        <v>1.2202562538133009E-4</v>
      </c>
      <c r="H124" s="17">
        <v>78614</v>
      </c>
      <c r="I124" s="16">
        <v>5.6748970427119574E-4</v>
      </c>
      <c r="J124" s="19" t="s">
        <v>611</v>
      </c>
      <c r="K124" s="19" t="s">
        <v>629</v>
      </c>
      <c r="L124" s="12" t="s">
        <v>630</v>
      </c>
      <c r="M124" s="19" t="s">
        <v>631</v>
      </c>
    </row>
    <row r="125" spans="1:13" ht="20" customHeight="1">
      <c r="A125" s="4">
        <v>121</v>
      </c>
      <c r="B125" s="6" t="s">
        <v>632</v>
      </c>
      <c r="C125" s="6" t="s">
        <v>48</v>
      </c>
      <c r="D125" s="5" t="s">
        <v>47</v>
      </c>
      <c r="E125" s="4" t="s">
        <v>49</v>
      </c>
      <c r="F125" s="7">
        <v>1</v>
      </c>
      <c r="G125" s="8">
        <v>1.2202562538133009E-4</v>
      </c>
      <c r="H125" s="9">
        <v>79000</v>
      </c>
      <c r="I125" s="8">
        <v>5.7027611668945051E-4</v>
      </c>
      <c r="J125" s="11" t="s">
        <v>611</v>
      </c>
      <c r="K125" s="11" t="s">
        <v>633</v>
      </c>
      <c r="L125" s="4" t="s">
        <v>466</v>
      </c>
      <c r="M125" s="11" t="s">
        <v>634</v>
      </c>
    </row>
    <row r="126" spans="1:13" ht="20" customHeight="1">
      <c r="A126" s="12">
        <v>122</v>
      </c>
      <c r="B126" s="14" t="s">
        <v>635</v>
      </c>
      <c r="C126" s="14" t="s">
        <v>95</v>
      </c>
      <c r="D126" s="13" t="s">
        <v>94</v>
      </c>
      <c r="E126" s="12" t="s">
        <v>96</v>
      </c>
      <c r="F126" s="15">
        <v>1</v>
      </c>
      <c r="G126" s="16">
        <v>1.2202562538133009E-4</v>
      </c>
      <c r="H126" s="17">
        <v>4000</v>
      </c>
      <c r="I126" s="16">
        <v>2.8874740085541799E-5</v>
      </c>
      <c r="J126" s="19" t="s">
        <v>611</v>
      </c>
      <c r="K126" s="19" t="s">
        <v>636</v>
      </c>
      <c r="L126" s="12" t="s">
        <v>637</v>
      </c>
      <c r="M126" s="19" t="s">
        <v>638</v>
      </c>
    </row>
    <row r="127" spans="1:13" ht="20" customHeight="1">
      <c r="A127" s="4">
        <v>123</v>
      </c>
      <c r="B127" s="6" t="s">
        <v>639</v>
      </c>
      <c r="C127" s="6" t="s">
        <v>33</v>
      </c>
      <c r="D127" s="5" t="s">
        <v>32</v>
      </c>
      <c r="E127" s="4" t="s">
        <v>34</v>
      </c>
      <c r="F127" s="7">
        <v>1</v>
      </c>
      <c r="G127" s="8">
        <v>1.2202562538133009E-4</v>
      </c>
      <c r="H127" s="9">
        <v>83000</v>
      </c>
      <c r="I127" s="8">
        <v>5.9915085677499232E-4</v>
      </c>
      <c r="J127" s="11" t="s">
        <v>611</v>
      </c>
      <c r="K127" s="11" t="s">
        <v>640</v>
      </c>
      <c r="L127" s="4" t="s">
        <v>268</v>
      </c>
      <c r="M127" s="11" t="s">
        <v>36</v>
      </c>
    </row>
    <row r="128" spans="1:13" ht="20" customHeight="1">
      <c r="A128" s="12">
        <v>124</v>
      </c>
      <c r="B128" s="14" t="s">
        <v>641</v>
      </c>
      <c r="C128" s="14" t="s">
        <v>65</v>
      </c>
      <c r="D128" s="13" t="s">
        <v>64</v>
      </c>
      <c r="E128" s="12" t="s">
        <v>66</v>
      </c>
      <c r="F128" s="15">
        <v>1</v>
      </c>
      <c r="G128" s="16">
        <v>1.2202562538133009E-4</v>
      </c>
      <c r="H128" s="17">
        <v>14400</v>
      </c>
      <c r="I128" s="16">
        <v>1.039490643079505E-4</v>
      </c>
      <c r="J128" s="19" t="s">
        <v>611</v>
      </c>
      <c r="K128" s="19" t="s">
        <v>642</v>
      </c>
      <c r="L128" s="12" t="s">
        <v>643</v>
      </c>
      <c r="M128" s="19" t="s">
        <v>644</v>
      </c>
    </row>
    <row r="129" spans="1:13" ht="20" customHeight="1">
      <c r="A129" s="4">
        <v>125</v>
      </c>
      <c r="B129" s="6" t="s">
        <v>645</v>
      </c>
      <c r="C129" s="6" t="s">
        <v>38</v>
      </c>
      <c r="D129" s="5" t="s">
        <v>37</v>
      </c>
      <c r="E129" s="4" t="s">
        <v>39</v>
      </c>
      <c r="F129" s="7">
        <v>1</v>
      </c>
      <c r="G129" s="8">
        <v>1.2202562538133009E-4</v>
      </c>
      <c r="H129" s="9">
        <v>19500</v>
      </c>
      <c r="I129" s="8">
        <v>1.4076435791701629E-4</v>
      </c>
      <c r="J129" s="11" t="s">
        <v>611</v>
      </c>
      <c r="K129" s="11" t="s">
        <v>646</v>
      </c>
      <c r="L129" s="4" t="s">
        <v>160</v>
      </c>
      <c r="M129" s="11" t="s">
        <v>647</v>
      </c>
    </row>
    <row r="130" spans="1:13" ht="20" customHeight="1">
      <c r="A130" s="12">
        <v>126</v>
      </c>
      <c r="B130" s="14" t="s">
        <v>648</v>
      </c>
      <c r="C130" s="14" t="s">
        <v>38</v>
      </c>
      <c r="D130" s="13" t="s">
        <v>37</v>
      </c>
      <c r="E130" s="12" t="s">
        <v>39</v>
      </c>
      <c r="F130" s="15">
        <v>1</v>
      </c>
      <c r="G130" s="16">
        <v>1.2202562538133009E-4</v>
      </c>
      <c r="H130" s="17">
        <v>35143</v>
      </c>
      <c r="I130" s="16">
        <v>2.5368624770654878E-4</v>
      </c>
      <c r="J130" s="19" t="s">
        <v>611</v>
      </c>
      <c r="K130" s="19" t="s">
        <v>649</v>
      </c>
      <c r="L130" s="12" t="s">
        <v>478</v>
      </c>
      <c r="M130" s="19" t="s">
        <v>650</v>
      </c>
    </row>
    <row r="131" spans="1:13" ht="20" customHeight="1">
      <c r="A131" s="4">
        <v>127</v>
      </c>
      <c r="B131" s="6" t="s">
        <v>651</v>
      </c>
      <c r="C131" s="6" t="s">
        <v>95</v>
      </c>
      <c r="D131" s="5" t="s">
        <v>94</v>
      </c>
      <c r="E131" s="4" t="s">
        <v>96</v>
      </c>
      <c r="F131" s="7">
        <v>1</v>
      </c>
      <c r="G131" s="8">
        <v>1.2202562538133009E-4</v>
      </c>
      <c r="H131" s="9">
        <v>5920</v>
      </c>
      <c r="I131" s="8">
        <v>4.2734615326601861E-5</v>
      </c>
      <c r="J131" s="11" t="s">
        <v>652</v>
      </c>
      <c r="K131" s="11" t="s">
        <v>390</v>
      </c>
      <c r="L131" s="4" t="s">
        <v>653</v>
      </c>
      <c r="M131" s="11" t="s">
        <v>654</v>
      </c>
    </row>
    <row r="132" spans="1:13" ht="20" customHeight="1">
      <c r="A132" s="12">
        <v>128</v>
      </c>
      <c r="B132" s="14" t="s">
        <v>655</v>
      </c>
      <c r="C132" s="14" t="s">
        <v>65</v>
      </c>
      <c r="D132" s="13" t="s">
        <v>64</v>
      </c>
      <c r="E132" s="12" t="s">
        <v>66</v>
      </c>
      <c r="F132" s="15">
        <v>1</v>
      </c>
      <c r="G132" s="16">
        <v>1.2202562538133009E-4</v>
      </c>
      <c r="H132" s="17">
        <v>178.5</v>
      </c>
      <c r="I132" s="16">
        <v>1.2885352763173031E-6</v>
      </c>
      <c r="J132" s="19" t="s">
        <v>652</v>
      </c>
      <c r="K132" s="19" t="s">
        <v>656</v>
      </c>
      <c r="L132" s="12" t="s">
        <v>657</v>
      </c>
      <c r="M132" s="19" t="s">
        <v>658</v>
      </c>
    </row>
    <row r="133" spans="1:13" ht="20" customHeight="1">
      <c r="A133" s="4">
        <v>129</v>
      </c>
      <c r="B133" s="6" t="s">
        <v>659</v>
      </c>
      <c r="C133" s="6" t="s">
        <v>65</v>
      </c>
      <c r="D133" s="5" t="s">
        <v>64</v>
      </c>
      <c r="E133" s="4" t="s">
        <v>66</v>
      </c>
      <c r="F133" s="7">
        <v>1</v>
      </c>
      <c r="G133" s="8">
        <v>1.2202562538133009E-4</v>
      </c>
      <c r="H133" s="9">
        <v>16000</v>
      </c>
      <c r="I133" s="8">
        <v>1.154989603421672E-4</v>
      </c>
      <c r="J133" s="11" t="s">
        <v>652</v>
      </c>
      <c r="K133" s="11" t="s">
        <v>660</v>
      </c>
      <c r="L133" s="4" t="s">
        <v>661</v>
      </c>
      <c r="M133" s="11" t="s">
        <v>662</v>
      </c>
    </row>
    <row r="134" spans="1:13" ht="20" customHeight="1">
      <c r="A134" s="12">
        <v>130</v>
      </c>
      <c r="B134" s="14" t="s">
        <v>663</v>
      </c>
      <c r="C134" s="14" t="s">
        <v>65</v>
      </c>
      <c r="D134" s="13" t="s">
        <v>64</v>
      </c>
      <c r="E134" s="12" t="s">
        <v>66</v>
      </c>
      <c r="F134" s="15">
        <v>1</v>
      </c>
      <c r="G134" s="16">
        <v>1.2202562538133009E-4</v>
      </c>
      <c r="H134" s="17">
        <v>500</v>
      </c>
      <c r="I134" s="16">
        <v>3.6093425106927249E-6</v>
      </c>
      <c r="J134" s="19" t="s">
        <v>652</v>
      </c>
      <c r="K134" s="19" t="s">
        <v>664</v>
      </c>
      <c r="L134" s="12" t="s">
        <v>665</v>
      </c>
      <c r="M134" s="19" t="s">
        <v>666</v>
      </c>
    </row>
    <row r="135" spans="1:13" ht="20" customHeight="1">
      <c r="A135" s="4">
        <v>131</v>
      </c>
      <c r="B135" s="6" t="s">
        <v>667</v>
      </c>
      <c r="C135" s="6" t="s">
        <v>65</v>
      </c>
      <c r="D135" s="5" t="s">
        <v>64</v>
      </c>
      <c r="E135" s="4" t="s">
        <v>66</v>
      </c>
      <c r="F135" s="7">
        <v>1</v>
      </c>
      <c r="G135" s="8">
        <v>1.2202562538133009E-4</v>
      </c>
      <c r="H135" s="9">
        <v>150</v>
      </c>
      <c r="I135" s="8">
        <v>1.082802753207817E-6</v>
      </c>
      <c r="J135" s="11" t="s">
        <v>652</v>
      </c>
      <c r="K135" s="11" t="s">
        <v>344</v>
      </c>
      <c r="L135" s="4" t="s">
        <v>668</v>
      </c>
      <c r="M135" s="11" t="s">
        <v>669</v>
      </c>
    </row>
    <row r="136" spans="1:13" ht="20" customHeight="1">
      <c r="A136" s="12">
        <v>132</v>
      </c>
      <c r="B136" s="14" t="s">
        <v>670</v>
      </c>
      <c r="C136" s="14" t="s">
        <v>65</v>
      </c>
      <c r="D136" s="13" t="s">
        <v>64</v>
      </c>
      <c r="E136" s="12" t="s">
        <v>66</v>
      </c>
      <c r="F136" s="15">
        <v>1</v>
      </c>
      <c r="G136" s="16">
        <v>1.2202562538133009E-4</v>
      </c>
      <c r="H136" s="17">
        <v>600</v>
      </c>
      <c r="I136" s="16">
        <v>4.3312110128312704E-6</v>
      </c>
      <c r="J136" s="19" t="s">
        <v>652</v>
      </c>
      <c r="K136" s="19" t="s">
        <v>344</v>
      </c>
      <c r="L136" s="12" t="s">
        <v>671</v>
      </c>
      <c r="M136" s="19" t="s">
        <v>672</v>
      </c>
    </row>
    <row r="137" spans="1:13" ht="20" customHeight="1">
      <c r="A137" s="4">
        <v>133</v>
      </c>
      <c r="B137" s="6" t="s">
        <v>673</v>
      </c>
      <c r="C137" s="6" t="s">
        <v>65</v>
      </c>
      <c r="D137" s="5" t="s">
        <v>64</v>
      </c>
      <c r="E137" s="4" t="s">
        <v>66</v>
      </c>
      <c r="F137" s="7">
        <v>1</v>
      </c>
      <c r="G137" s="8">
        <v>1.2202562538133009E-4</v>
      </c>
      <c r="H137" s="9">
        <v>6800</v>
      </c>
      <c r="I137" s="8">
        <v>4.9087058145421061E-5</v>
      </c>
      <c r="J137" s="11" t="s">
        <v>525</v>
      </c>
      <c r="K137" s="11" t="s">
        <v>674</v>
      </c>
      <c r="L137" s="4" t="s">
        <v>382</v>
      </c>
      <c r="M137" s="11" t="s">
        <v>675</v>
      </c>
    </row>
    <row r="138" spans="1:13" ht="20" customHeight="1">
      <c r="A138" s="12">
        <v>134</v>
      </c>
      <c r="B138" s="14" t="s">
        <v>676</v>
      </c>
      <c r="C138" s="14" t="s">
        <v>65</v>
      </c>
      <c r="D138" s="13" t="s">
        <v>64</v>
      </c>
      <c r="E138" s="12" t="s">
        <v>66</v>
      </c>
      <c r="F138" s="15">
        <v>1</v>
      </c>
      <c r="G138" s="16">
        <v>1.2202562538133009E-4</v>
      </c>
      <c r="H138" s="17">
        <v>100</v>
      </c>
      <c r="I138" s="16">
        <v>7.2186850213854495E-7</v>
      </c>
      <c r="J138" s="19" t="s">
        <v>525</v>
      </c>
      <c r="K138" s="19" t="s">
        <v>676</v>
      </c>
      <c r="L138" s="12" t="s">
        <v>382</v>
      </c>
      <c r="M138" s="19" t="s">
        <v>677</v>
      </c>
    </row>
    <row r="139" spans="1:13" ht="20" customHeight="1">
      <c r="A139" s="4">
        <v>135</v>
      </c>
      <c r="B139" s="6" t="s">
        <v>678</v>
      </c>
      <c r="C139" s="6" t="s">
        <v>70</v>
      </c>
      <c r="D139" s="5" t="s">
        <v>69</v>
      </c>
      <c r="E139" s="4" t="s">
        <v>71</v>
      </c>
      <c r="F139" s="7">
        <v>1</v>
      </c>
      <c r="G139" s="8">
        <v>1.2202562538133009E-4</v>
      </c>
      <c r="H139" s="9">
        <v>22000</v>
      </c>
      <c r="I139" s="8">
        <v>1.588110704704799E-4</v>
      </c>
      <c r="J139" s="11" t="s">
        <v>525</v>
      </c>
      <c r="K139" s="11" t="s">
        <v>679</v>
      </c>
      <c r="L139" s="4" t="s">
        <v>680</v>
      </c>
      <c r="M139" s="11" t="s">
        <v>681</v>
      </c>
    </row>
    <row r="140" spans="1:13" ht="20" customHeight="1">
      <c r="A140" s="12">
        <v>136</v>
      </c>
      <c r="B140" s="14" t="s">
        <v>682</v>
      </c>
      <c r="C140" s="14" t="s">
        <v>70</v>
      </c>
      <c r="D140" s="13" t="s">
        <v>69</v>
      </c>
      <c r="E140" s="12" t="s">
        <v>71</v>
      </c>
      <c r="F140" s="15">
        <v>1</v>
      </c>
      <c r="G140" s="16">
        <v>1.2202562538133009E-4</v>
      </c>
      <c r="H140" s="17">
        <v>7322.26</v>
      </c>
      <c r="I140" s="16">
        <v>5.2857088584689821E-5</v>
      </c>
      <c r="J140" s="19" t="s">
        <v>525</v>
      </c>
      <c r="K140" s="19" t="s">
        <v>683</v>
      </c>
      <c r="L140" s="12" t="s">
        <v>684</v>
      </c>
      <c r="M140" s="19" t="s">
        <v>73</v>
      </c>
    </row>
    <row r="141" spans="1:13" ht="20" customHeight="1">
      <c r="A141" s="4">
        <v>137</v>
      </c>
      <c r="B141" s="6" t="s">
        <v>685</v>
      </c>
      <c r="C141" s="6" t="s">
        <v>95</v>
      </c>
      <c r="D141" s="5" t="s">
        <v>94</v>
      </c>
      <c r="E141" s="4" t="s">
        <v>96</v>
      </c>
      <c r="F141" s="7">
        <v>1</v>
      </c>
      <c r="G141" s="8">
        <v>1.2202562538133009E-4</v>
      </c>
      <c r="H141" s="9">
        <v>270</v>
      </c>
      <c r="I141" s="8">
        <v>1.9490449557740708E-6</v>
      </c>
      <c r="J141" s="11" t="s">
        <v>525</v>
      </c>
      <c r="K141" s="11" t="s">
        <v>686</v>
      </c>
      <c r="L141" s="4" t="s">
        <v>687</v>
      </c>
      <c r="M141" s="11" t="s">
        <v>688</v>
      </c>
    </row>
    <row r="142" spans="1:13" ht="20" customHeight="1">
      <c r="A142" s="12">
        <v>138</v>
      </c>
      <c r="B142" s="14" t="s">
        <v>689</v>
      </c>
      <c r="C142" s="14" t="s">
        <v>65</v>
      </c>
      <c r="D142" s="13" t="s">
        <v>64</v>
      </c>
      <c r="E142" s="12" t="s">
        <v>66</v>
      </c>
      <c r="F142" s="15">
        <v>1</v>
      </c>
      <c r="G142" s="16">
        <v>1.2202562538133009E-4</v>
      </c>
      <c r="H142" s="17">
        <v>10</v>
      </c>
      <c r="I142" s="16">
        <v>7.2186850213854493E-8</v>
      </c>
      <c r="J142" s="19" t="s">
        <v>525</v>
      </c>
      <c r="K142" s="19" t="s">
        <v>380</v>
      </c>
      <c r="L142" s="12" t="s">
        <v>382</v>
      </c>
      <c r="M142" s="19" t="s">
        <v>690</v>
      </c>
    </row>
    <row r="143" spans="1:13" ht="20" customHeight="1">
      <c r="A143" s="4">
        <v>139</v>
      </c>
      <c r="B143" s="6" t="s">
        <v>691</v>
      </c>
      <c r="C143" s="6" t="s">
        <v>33</v>
      </c>
      <c r="D143" s="5" t="s">
        <v>32</v>
      </c>
      <c r="E143" s="4" t="s">
        <v>34</v>
      </c>
      <c r="F143" s="7">
        <v>1</v>
      </c>
      <c r="G143" s="8">
        <v>1.2202562538133009E-4</v>
      </c>
      <c r="H143" s="9">
        <v>532</v>
      </c>
      <c r="I143" s="8">
        <v>3.8403404313770594E-6</v>
      </c>
      <c r="J143" s="11" t="s">
        <v>525</v>
      </c>
      <c r="K143" s="11" t="s">
        <v>521</v>
      </c>
      <c r="L143" s="4" t="s">
        <v>374</v>
      </c>
      <c r="M143" s="11" t="s">
        <v>692</v>
      </c>
    </row>
    <row r="144" spans="1:13" ht="20" customHeight="1">
      <c r="A144" s="12">
        <v>140</v>
      </c>
      <c r="B144" s="14" t="s">
        <v>693</v>
      </c>
      <c r="C144" s="14" t="s">
        <v>65</v>
      </c>
      <c r="D144" s="13" t="s">
        <v>64</v>
      </c>
      <c r="E144" s="12" t="s">
        <v>66</v>
      </c>
      <c r="F144" s="15">
        <v>1</v>
      </c>
      <c r="G144" s="16">
        <v>1.2202562538133009E-4</v>
      </c>
      <c r="H144" s="17">
        <v>1015</v>
      </c>
      <c r="I144" s="16">
        <v>7.3269652967062313E-6</v>
      </c>
      <c r="J144" s="19" t="s">
        <v>525</v>
      </c>
      <c r="K144" s="19" t="s">
        <v>521</v>
      </c>
      <c r="L144" s="12" t="s">
        <v>694</v>
      </c>
      <c r="M144" s="19" t="s">
        <v>695</v>
      </c>
    </row>
    <row r="145" spans="1:13" ht="20" customHeight="1">
      <c r="A145" s="4">
        <v>141</v>
      </c>
      <c r="B145" s="6" t="s">
        <v>696</v>
      </c>
      <c r="C145" s="6" t="s">
        <v>60</v>
      </c>
      <c r="D145" s="5" t="s">
        <v>59</v>
      </c>
      <c r="E145" s="4" t="s">
        <v>61</v>
      </c>
      <c r="F145" s="7">
        <v>1</v>
      </c>
      <c r="G145" s="8">
        <v>1.2202562538133009E-4</v>
      </c>
      <c r="H145" s="9">
        <v>40</v>
      </c>
      <c r="I145" s="8">
        <v>2.8874740085541802E-7</v>
      </c>
      <c r="J145" s="11" t="s">
        <v>525</v>
      </c>
      <c r="K145" s="11" t="s">
        <v>521</v>
      </c>
      <c r="L145" s="4" t="s">
        <v>697</v>
      </c>
      <c r="M145" s="11" t="s">
        <v>63</v>
      </c>
    </row>
    <row r="146" spans="1:13" ht="24" customHeight="1">
      <c r="A146" s="20"/>
      <c r="B146" s="21" t="s">
        <v>698</v>
      </c>
      <c r="C146" s="21" t="s">
        <v>699</v>
      </c>
      <c r="D146" s="20" t="s">
        <v>700</v>
      </c>
      <c r="E146" s="20" t="s">
        <v>111</v>
      </c>
      <c r="F146" s="22">
        <f>SUM(F5:F145)</f>
        <v>8195</v>
      </c>
      <c r="G146" s="23">
        <f>SUM(G5:G145)</f>
        <v>0.99999999999999922</v>
      </c>
      <c r="H146" s="24">
        <f>SUM(H5:H145)</f>
        <v>138529385.48191077</v>
      </c>
      <c r="I146" s="23">
        <f>SUM(I5:I145)</f>
        <v>1</v>
      </c>
      <c r="J146" s="21" t="s">
        <v>701</v>
      </c>
      <c r="K146" s="21" t="s">
        <v>111</v>
      </c>
      <c r="L146" s="20" t="s">
        <v>702</v>
      </c>
      <c r="M146" s="21" t="s">
        <v>703</v>
      </c>
    </row>
  </sheetData>
  <autoFilter ref="A4:M145" xr:uid="{00000000-0009-0000-0000-000001000000}"/>
  <phoneticPr fontId="10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"/>
  <sheetViews>
    <sheetView workbookViewId="0"/>
  </sheetViews>
  <sheetFormatPr defaultRowHeight="14"/>
  <cols>
    <col min="1" max="1" width="18" customWidth="1"/>
    <col min="2" max="3" width="42" customWidth="1"/>
    <col min="4" max="4" width="36" customWidth="1"/>
  </cols>
  <sheetData>
    <row r="1" spans="1:4" ht="22.5">
      <c r="A1" s="1" t="s">
        <v>704</v>
      </c>
    </row>
    <row r="2" spans="1:4" ht="16">
      <c r="A2" s="2" t="s">
        <v>705</v>
      </c>
    </row>
    <row r="4" spans="1:4" ht="16.5">
      <c r="A4" s="25" t="s">
        <v>706</v>
      </c>
    </row>
    <row r="5" spans="1:4" ht="26" customHeight="1">
      <c r="A5" s="26" t="s">
        <v>707</v>
      </c>
      <c r="B5" s="26" t="s">
        <v>708</v>
      </c>
      <c r="C5" s="26" t="s">
        <v>709</v>
      </c>
      <c r="D5" s="26" t="s">
        <v>710</v>
      </c>
    </row>
    <row r="6" spans="1:4" ht="24" customHeight="1">
      <c r="A6" s="27" t="s">
        <v>711</v>
      </c>
      <c r="B6" s="28" t="s">
        <v>712</v>
      </c>
      <c r="C6" s="28" t="s">
        <v>713</v>
      </c>
      <c r="D6" s="28" t="s">
        <v>714</v>
      </c>
    </row>
    <row r="7" spans="1:4" ht="24" customHeight="1">
      <c r="A7" s="29" t="s">
        <v>715</v>
      </c>
      <c r="B7" s="30" t="s">
        <v>716</v>
      </c>
      <c r="C7" s="30" t="s">
        <v>717</v>
      </c>
      <c r="D7" s="30" t="s">
        <v>718</v>
      </c>
    </row>
    <row r="8" spans="1:4" ht="24" customHeight="1">
      <c r="A8" s="27" t="s">
        <v>719</v>
      </c>
      <c r="B8" s="28" t="s">
        <v>720</v>
      </c>
      <c r="C8" s="28" t="s">
        <v>721</v>
      </c>
      <c r="D8" s="28" t="s">
        <v>722</v>
      </c>
    </row>
    <row r="9" spans="1:4" ht="24" customHeight="1">
      <c r="A9" s="29" t="s">
        <v>723</v>
      </c>
      <c r="B9" s="30" t="s">
        <v>724</v>
      </c>
      <c r="C9" s="30" t="s">
        <v>725</v>
      </c>
      <c r="D9" s="30" t="s">
        <v>726</v>
      </c>
    </row>
    <row r="10" spans="1:4" ht="24" customHeight="1">
      <c r="A10" s="27" t="s">
        <v>727</v>
      </c>
      <c r="B10" s="28" t="s">
        <v>728</v>
      </c>
      <c r="C10" s="28" t="s">
        <v>729</v>
      </c>
      <c r="D10" s="28" t="s">
        <v>730</v>
      </c>
    </row>
    <row r="11" spans="1:4" ht="24" customHeight="1">
      <c r="A11" s="29" t="s">
        <v>731</v>
      </c>
      <c r="B11" s="30" t="s">
        <v>732</v>
      </c>
      <c r="C11" s="30" t="s">
        <v>733</v>
      </c>
      <c r="D11" s="30" t="s">
        <v>734</v>
      </c>
    </row>
    <row r="12" spans="1:4" ht="24" customHeight="1">
      <c r="A12" s="27" t="s">
        <v>735</v>
      </c>
      <c r="B12" s="28" t="s">
        <v>736</v>
      </c>
      <c r="C12" s="28" t="s">
        <v>737</v>
      </c>
      <c r="D12" s="28" t="s">
        <v>738</v>
      </c>
    </row>
    <row r="15" spans="1:4" ht="16.5">
      <c r="A15" s="25" t="s">
        <v>739</v>
      </c>
    </row>
    <row r="17" spans="1:4" ht="24" customHeight="1">
      <c r="A17" s="27" t="s">
        <v>740</v>
      </c>
      <c r="B17" s="34" t="s">
        <v>741</v>
      </c>
      <c r="C17" s="35"/>
      <c r="D17" s="35"/>
    </row>
    <row r="18" spans="1:4" ht="24" customHeight="1">
      <c r="A18" s="27" t="s">
        <v>742</v>
      </c>
      <c r="B18" s="34" t="s">
        <v>743</v>
      </c>
      <c r="C18" s="35"/>
      <c r="D18" s="35"/>
    </row>
    <row r="19" spans="1:4" ht="24" customHeight="1">
      <c r="A19" s="27" t="s">
        <v>744</v>
      </c>
      <c r="B19" s="34" t="s">
        <v>745</v>
      </c>
      <c r="C19" s="35"/>
      <c r="D19" s="35"/>
    </row>
    <row r="20" spans="1:4" ht="24" customHeight="1">
      <c r="A20" s="27" t="s">
        <v>746</v>
      </c>
      <c r="B20" s="34" t="s">
        <v>747</v>
      </c>
      <c r="C20" s="35"/>
      <c r="D20" s="35"/>
    </row>
  </sheetData>
  <mergeCells count="4">
    <mergeCell ref="B17:D17"/>
    <mergeCell ref="B18:D18"/>
    <mergeCell ref="B19:D19"/>
    <mergeCell ref="B20:D20"/>
  </mergeCells>
  <phoneticPr fontId="1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新舊小類對照匯總</vt:lpstr>
      <vt:lpstr>141項全量映射對照表</vt:lpstr>
      <vt:lpstr>方案對比與治理建議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kt</cp:lastModifiedBy>
  <dcterms:created xsi:type="dcterms:W3CDTF">2026-09-24T02:02:04Z</dcterms:created>
  <dcterms:modified xsi:type="dcterms:W3CDTF">2026-09-24T04:32:56Z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2026-09-24T04:32:55Z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dbcb0674-3579-4e82-85c3-a9d0f0ac606f</vt:lpwstr>
  </property>
  <property fmtid="{D5CDD505-2E9C-101B-9397-08002B2CF9AE}" pid="7" name="MSIP_Label_defa4170-0d19-0005-0004-bc88714345d2_ActionId">
    <vt:lpwstr>de3890f4-dcbd-41d7-a54e-50d64dbb82f5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